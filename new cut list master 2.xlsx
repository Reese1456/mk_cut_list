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27795" windowHeight="12465" activeTab="4"/>
  </bookViews>
  <sheets>
    <sheet name="input sheet" sheetId="1" r:id="rId1"/>
    <sheet name="cut list" sheetId="2" r:id="rId2"/>
    <sheet name="doors" sheetId="3" r:id="rId3"/>
    <sheet name="pannels" sheetId="4" r:id="rId4"/>
    <sheet name="drawing" sheetId="6" r:id="rId5"/>
    <sheet name="bic" sheetId="5" r:id="rId6"/>
    <sheet name="Chart1" sheetId="11" r:id="rId7"/>
    <sheet name="gola std" sheetId="7" r:id="rId8"/>
    <sheet name="dtc" sheetId="8" r:id="rId9"/>
    <sheet name="sumit" sheetId="9" r:id="rId10"/>
    <sheet name="gelmar" sheetId="10" r:id="rId11"/>
    <sheet name="hardware list" sheetId="12" r:id="rId12"/>
  </sheets>
  <definedNames>
    <definedName name="_xlnm._FilterDatabase" localSheetId="1" hidden="1">'cut list'!$B$3:$B$391</definedName>
    <definedName name="_xlnm._FilterDatabase" localSheetId="2" hidden="1">doors!$A$6:$J$90</definedName>
  </definedNames>
  <calcPr calcId="145621"/>
</workbook>
</file>

<file path=xl/calcChain.xml><?xml version="1.0" encoding="utf-8"?>
<calcChain xmlns="http://schemas.openxmlformats.org/spreadsheetml/2006/main">
  <c r="C58" i="2" l="1"/>
  <c r="C57" i="2"/>
  <c r="C3" i="4" l="1"/>
  <c r="C2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7" i="4"/>
  <c r="N34" i="4" l="1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35" i="4" l="1"/>
  <c r="D197" i="2" l="1"/>
  <c r="D196" i="2"/>
  <c r="J43" i="3" l="1"/>
  <c r="I43" i="3"/>
  <c r="D89" i="2" l="1"/>
  <c r="D199" i="2" l="1"/>
  <c r="A277" i="2"/>
  <c r="D87" i="2"/>
  <c r="J65" i="3" l="1"/>
  <c r="I65" i="3"/>
  <c r="G65" i="3"/>
  <c r="M65" i="3" s="1"/>
  <c r="J64" i="3"/>
  <c r="I64" i="3"/>
  <c r="J63" i="3"/>
  <c r="I63" i="3"/>
  <c r="J62" i="3"/>
  <c r="I62" i="3"/>
  <c r="J61" i="3"/>
  <c r="I61" i="3"/>
  <c r="J66" i="3"/>
  <c r="I66" i="3"/>
  <c r="G66" i="3"/>
  <c r="M66" i="3" s="1"/>
  <c r="J60" i="3"/>
  <c r="I60" i="3"/>
  <c r="J59" i="3"/>
  <c r="I59" i="3"/>
  <c r="J58" i="3"/>
  <c r="I58" i="3"/>
  <c r="J47" i="3"/>
  <c r="I47" i="3"/>
  <c r="D281" i="2"/>
  <c r="A272" i="2"/>
  <c r="B271" i="2" s="1"/>
  <c r="B274" i="2" s="1"/>
  <c r="A271" i="2"/>
  <c r="G271" i="2" s="1"/>
  <c r="E47" i="3" s="1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6" i="3"/>
  <c r="I46" i="3"/>
  <c r="J45" i="3"/>
  <c r="I45" i="3"/>
  <c r="J44" i="3"/>
  <c r="I44" i="3"/>
  <c r="J42" i="3"/>
  <c r="I42" i="3"/>
  <c r="J40" i="3"/>
  <c r="I40" i="3"/>
  <c r="D275" i="2" l="1"/>
  <c r="B276" i="2"/>
  <c r="C274" i="2"/>
  <c r="C276" i="2" s="1"/>
  <c r="B275" i="2"/>
  <c r="B273" i="2"/>
  <c r="C280" i="2"/>
  <c r="I271" i="2"/>
  <c r="F47" i="3" s="1"/>
  <c r="C377" i="2"/>
  <c r="B388" i="2" l="1"/>
  <c r="A388" i="2"/>
  <c r="C390" i="2" s="1"/>
  <c r="C391" i="2" s="1"/>
  <c r="B384" i="2"/>
  <c r="B380" i="2"/>
  <c r="B382" i="2" s="1"/>
  <c r="A384" i="2"/>
  <c r="C386" i="2" s="1"/>
  <c r="C387" i="2" s="1"/>
  <c r="A380" i="2"/>
  <c r="C382" i="2" s="1"/>
  <c r="C383" i="2" s="1"/>
  <c r="B376" i="2"/>
  <c r="A376" i="2"/>
  <c r="C378" i="2" s="1"/>
  <c r="C379" i="2" s="1"/>
  <c r="D377" i="2"/>
  <c r="D378" i="2" s="1"/>
  <c r="C381" i="2"/>
  <c r="F380" i="2" s="1"/>
  <c r="C62" i="3" s="1"/>
  <c r="A369" i="2"/>
  <c r="I384" i="2" l="1"/>
  <c r="F63" i="3" s="1"/>
  <c r="B386" i="2"/>
  <c r="B381" i="2"/>
  <c r="B383" i="2"/>
  <c r="B378" i="2"/>
  <c r="B379" i="2" s="1"/>
  <c r="B377" i="2"/>
  <c r="I388" i="2"/>
  <c r="F64" i="3" s="1"/>
  <c r="B389" i="2"/>
  <c r="B387" i="2"/>
  <c r="B391" i="2"/>
  <c r="B385" i="2"/>
  <c r="B390" i="2"/>
  <c r="G388" i="2"/>
  <c r="E64" i="3" s="1"/>
  <c r="I376" i="2"/>
  <c r="F61" i="3" s="1"/>
  <c r="D381" i="2"/>
  <c r="G376" i="2"/>
  <c r="E61" i="3" s="1"/>
  <c r="D385" i="2"/>
  <c r="D386" i="2" s="1"/>
  <c r="F376" i="2"/>
  <c r="C61" i="3" s="1"/>
  <c r="G380" i="2"/>
  <c r="E62" i="3" s="1"/>
  <c r="C385" i="2"/>
  <c r="G384" i="2"/>
  <c r="E63" i="3" s="1"/>
  <c r="I380" i="2"/>
  <c r="F62" i="3" s="1"/>
  <c r="C32" i="3"/>
  <c r="C31" i="3"/>
  <c r="G62" i="3" l="1"/>
  <c r="M62" i="3" s="1"/>
  <c r="G61" i="3"/>
  <c r="M61" i="3" s="1"/>
  <c r="D382" i="2"/>
  <c r="D389" i="2"/>
  <c r="D390" i="2" s="1"/>
  <c r="F384" i="2"/>
  <c r="C63" i="3" s="1"/>
  <c r="G63" i="3" s="1"/>
  <c r="M63" i="3" s="1"/>
  <c r="C389" i="2"/>
  <c r="F388" i="2" s="1"/>
  <c r="C64" i="3" s="1"/>
  <c r="G64" i="3" s="1"/>
  <c r="M64" i="3" s="1"/>
  <c r="C23" i="3"/>
  <c r="C23" i="12" s="1"/>
  <c r="C22" i="3"/>
  <c r="C22" i="12" s="1"/>
  <c r="E6" i="12"/>
  <c r="D6" i="12"/>
  <c r="C6" i="12"/>
  <c r="C31" i="12"/>
  <c r="C32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C16" i="3"/>
  <c r="C16" i="12" s="1"/>
  <c r="C15" i="3"/>
  <c r="C15" i="12" s="1"/>
  <c r="C3" i="3"/>
  <c r="C2" i="3"/>
  <c r="C12" i="3"/>
  <c r="C12" i="12" s="1"/>
  <c r="C11" i="3"/>
  <c r="C11" i="12" s="1"/>
  <c r="C8" i="3"/>
  <c r="C8" i="12" s="1"/>
  <c r="H32" i="7" l="1"/>
  <c r="B26" i="7"/>
  <c r="J57" i="3" l="1"/>
  <c r="I57" i="3"/>
  <c r="J56" i="3"/>
  <c r="I56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L2" i="3"/>
  <c r="C19" i="9" l="1"/>
  <c r="C18" i="9"/>
  <c r="C7" i="9"/>
  <c r="C6" i="9"/>
  <c r="E23" i="8"/>
  <c r="E24" i="8" s="1"/>
  <c r="D23" i="8"/>
  <c r="C19" i="8"/>
  <c r="C23" i="8" s="1"/>
  <c r="E16" i="8"/>
  <c r="E15" i="8"/>
  <c r="D15" i="8"/>
  <c r="C11" i="8"/>
  <c r="C16" i="8" s="1"/>
  <c r="E7" i="8"/>
  <c r="E8" i="8" s="1"/>
  <c r="D7" i="8"/>
  <c r="C3" i="8"/>
  <c r="C7" i="8" s="1"/>
  <c r="C15" i="8" l="1"/>
  <c r="C8" i="8"/>
  <c r="C24" i="8"/>
  <c r="D51" i="2" l="1"/>
  <c r="A52" i="2"/>
  <c r="B54" i="2" s="1"/>
  <c r="E51" i="2"/>
  <c r="A51" i="2"/>
  <c r="C55" i="2" s="1"/>
  <c r="C59" i="2" l="1"/>
  <c r="D58" i="2" s="1"/>
  <c r="C54" i="2"/>
  <c r="B51" i="2"/>
  <c r="B58" i="2" s="1"/>
  <c r="B56" i="2"/>
  <c r="H51" i="2"/>
  <c r="E13" i="3" s="1"/>
  <c r="D13" i="12" s="1"/>
  <c r="B53" i="2"/>
  <c r="D56" i="2"/>
  <c r="B55" i="2"/>
  <c r="F1" i="2"/>
  <c r="F2" i="2"/>
  <c r="F3" i="2"/>
  <c r="H273" i="2" l="1"/>
  <c r="H276" i="2"/>
  <c r="H275" i="2"/>
  <c r="H274" i="2"/>
  <c r="G274" i="2"/>
  <c r="G273" i="2"/>
  <c r="G276" i="2"/>
  <c r="G275" i="2"/>
  <c r="G17" i="2"/>
  <c r="G391" i="2"/>
  <c r="G386" i="2"/>
  <c r="G381" i="2"/>
  <c r="G389" i="2"/>
  <c r="G378" i="2"/>
  <c r="G387" i="2"/>
  <c r="G382" i="2"/>
  <c r="G377" i="2"/>
  <c r="G390" i="2"/>
  <c r="G385" i="2"/>
  <c r="G379" i="2"/>
  <c r="G383" i="2"/>
  <c r="H27" i="2"/>
  <c r="H391" i="2"/>
  <c r="H389" i="2"/>
  <c r="H386" i="2"/>
  <c r="H383" i="2"/>
  <c r="H381" i="2"/>
  <c r="H378" i="2"/>
  <c r="H385" i="2"/>
  <c r="H382" i="2"/>
  <c r="H377" i="2"/>
  <c r="H390" i="2"/>
  <c r="H387" i="2"/>
  <c r="H379" i="2"/>
  <c r="I51" i="2"/>
  <c r="F13" i="3" s="1"/>
  <c r="G163" i="2"/>
  <c r="G134" i="2"/>
  <c r="G45" i="2"/>
  <c r="G150" i="2"/>
  <c r="G103" i="2"/>
  <c r="G193" i="2"/>
  <c r="G146" i="2"/>
  <c r="G77" i="2"/>
  <c r="G173" i="2"/>
  <c r="G140" i="2"/>
  <c r="G49" i="2"/>
  <c r="H140" i="2"/>
  <c r="H37" i="2"/>
  <c r="H93" i="2"/>
  <c r="H142" i="2"/>
  <c r="H114" i="2"/>
  <c r="H83" i="2"/>
  <c r="H97" i="2"/>
  <c r="H63" i="2"/>
  <c r="H33" i="2"/>
  <c r="G183" i="2"/>
  <c r="G159" i="2"/>
  <c r="G125" i="2"/>
  <c r="G73" i="2"/>
  <c r="G177" i="2"/>
  <c r="G156" i="2"/>
  <c r="G119" i="2"/>
  <c r="G189" i="2"/>
  <c r="G167" i="2"/>
  <c r="G155" i="2"/>
  <c r="G141" i="2"/>
  <c r="G129" i="2"/>
  <c r="G107" i="2"/>
  <c r="G89" i="2"/>
  <c r="G69" i="2"/>
  <c r="H159" i="2"/>
  <c r="H155" i="2"/>
  <c r="H35" i="2"/>
  <c r="H157" i="2"/>
  <c r="H153" i="2"/>
  <c r="H112" i="2"/>
  <c r="H95" i="2"/>
  <c r="H81" i="2"/>
  <c r="H65" i="2"/>
  <c r="H39" i="2"/>
  <c r="G20" i="2"/>
  <c r="G191" i="2"/>
  <c r="G179" i="2"/>
  <c r="G169" i="2"/>
  <c r="G148" i="2"/>
  <c r="G132" i="2"/>
  <c r="G121" i="2"/>
  <c r="G114" i="2"/>
  <c r="G105" i="2"/>
  <c r="G97" i="2"/>
  <c r="G93" i="2"/>
  <c r="G83" i="2"/>
  <c r="G75" i="2"/>
  <c r="G66" i="2"/>
  <c r="G62" i="2"/>
  <c r="G43" i="2"/>
  <c r="G36" i="2"/>
  <c r="G29" i="2"/>
  <c r="G185" i="2"/>
  <c r="G175" i="2"/>
  <c r="G165" i="2"/>
  <c r="G136" i="2"/>
  <c r="G126" i="2"/>
  <c r="G115" i="2"/>
  <c r="G111" i="2"/>
  <c r="G101" i="2"/>
  <c r="G94" i="2"/>
  <c r="G87" i="2"/>
  <c r="G80" i="2"/>
  <c r="G71" i="2"/>
  <c r="G65" i="2"/>
  <c r="G47" i="2"/>
  <c r="G39" i="2"/>
  <c r="G35" i="2"/>
  <c r="B59" i="2"/>
  <c r="B57" i="2"/>
  <c r="H127" i="2"/>
  <c r="G30" i="2"/>
  <c r="H129" i="2"/>
  <c r="H125" i="2"/>
  <c r="G14" i="2"/>
  <c r="G59" i="2"/>
  <c r="G58" i="2"/>
  <c r="G57" i="2"/>
  <c r="G56" i="2"/>
  <c r="G55" i="2"/>
  <c r="G54" i="2"/>
  <c r="G53" i="2"/>
  <c r="H14" i="2"/>
  <c r="H57" i="2"/>
  <c r="H56" i="2"/>
  <c r="H55" i="2"/>
  <c r="H54" i="2"/>
  <c r="H53" i="2"/>
  <c r="H59" i="2"/>
  <c r="H58" i="2"/>
  <c r="G26" i="2"/>
  <c r="G13" i="2"/>
  <c r="H29" i="2"/>
  <c r="G22" i="2"/>
  <c r="G190" i="2"/>
  <c r="G184" i="2"/>
  <c r="G178" i="2"/>
  <c r="G174" i="2"/>
  <c r="G168" i="2"/>
  <c r="G164" i="2"/>
  <c r="G157" i="2"/>
  <c r="G154" i="2"/>
  <c r="G147" i="2"/>
  <c r="G143" i="2"/>
  <c r="G133" i="2"/>
  <c r="G127" i="2"/>
  <c r="G120" i="2"/>
  <c r="G113" i="2"/>
  <c r="G106" i="2"/>
  <c r="G102" i="2"/>
  <c r="G95" i="2"/>
  <c r="G88" i="2"/>
  <c r="G82" i="2"/>
  <c r="G74" i="2"/>
  <c r="G70" i="2"/>
  <c r="G63" i="2"/>
  <c r="G50" i="2"/>
  <c r="G46" i="2"/>
  <c r="G42" i="2"/>
  <c r="G38" i="2"/>
  <c r="G33" i="2"/>
  <c r="G28" i="2"/>
  <c r="G21" i="2"/>
  <c r="G16" i="2"/>
  <c r="G15" i="2"/>
  <c r="G192" i="2"/>
  <c r="G186" i="2"/>
  <c r="G182" i="2"/>
  <c r="G176" i="2"/>
  <c r="G170" i="2"/>
  <c r="G166" i="2"/>
  <c r="G162" i="2"/>
  <c r="G158" i="2"/>
  <c r="G153" i="2"/>
  <c r="G149" i="2"/>
  <c r="G142" i="2"/>
  <c r="G139" i="2"/>
  <c r="G135" i="2"/>
  <c r="G128" i="2"/>
  <c r="G122" i="2"/>
  <c r="G118" i="2"/>
  <c r="G112" i="2"/>
  <c r="G108" i="2"/>
  <c r="G104" i="2"/>
  <c r="G100" i="2"/>
  <c r="G96" i="2"/>
  <c r="G90" i="2"/>
  <c r="G86" i="2"/>
  <c r="G81" i="2"/>
  <c r="G76" i="2"/>
  <c r="G72" i="2"/>
  <c r="G64" i="2"/>
  <c r="G48" i="2"/>
  <c r="G44" i="2"/>
  <c r="G37" i="2"/>
  <c r="G34" i="2"/>
  <c r="G27" i="2"/>
  <c r="G23" i="2"/>
  <c r="H191" i="2"/>
  <c r="H185" i="2"/>
  <c r="H177" i="2"/>
  <c r="H169" i="2"/>
  <c r="H165" i="2"/>
  <c r="H135" i="2"/>
  <c r="H107" i="2"/>
  <c r="H103" i="2"/>
  <c r="H90" i="2"/>
  <c r="H75" i="2"/>
  <c r="H71" i="2"/>
  <c r="H49" i="2"/>
  <c r="H45" i="2"/>
  <c r="H20" i="2"/>
  <c r="H158" i="2"/>
  <c r="H154" i="2"/>
  <c r="H128" i="2"/>
  <c r="H115" i="2"/>
  <c r="H111" i="2"/>
  <c r="H96" i="2"/>
  <c r="H94" i="2"/>
  <c r="H80" i="2"/>
  <c r="H66" i="2"/>
  <c r="H36" i="2"/>
  <c r="H193" i="2"/>
  <c r="H189" i="2"/>
  <c r="H183" i="2"/>
  <c r="H179" i="2"/>
  <c r="H175" i="2"/>
  <c r="H173" i="2"/>
  <c r="H167" i="2"/>
  <c r="H163" i="2"/>
  <c r="H150" i="2"/>
  <c r="H148" i="2"/>
  <c r="H146" i="2"/>
  <c r="H133" i="2"/>
  <c r="H122" i="2"/>
  <c r="H120" i="2"/>
  <c r="H118" i="2"/>
  <c r="H105" i="2"/>
  <c r="H101" i="2"/>
  <c r="H88" i="2"/>
  <c r="H86" i="2"/>
  <c r="H77" i="2"/>
  <c r="H73" i="2"/>
  <c r="H69" i="2"/>
  <c r="H47" i="2"/>
  <c r="H43" i="2"/>
  <c r="H22" i="2"/>
  <c r="H17" i="2"/>
  <c r="H15" i="2"/>
  <c r="H13" i="2"/>
  <c r="H156" i="2"/>
  <c r="H143" i="2"/>
  <c r="H141" i="2"/>
  <c r="H139" i="2"/>
  <c r="H126" i="2"/>
  <c r="H113" i="2"/>
  <c r="H82" i="2"/>
  <c r="H64" i="2"/>
  <c r="H62" i="2"/>
  <c r="H38" i="2"/>
  <c r="H34" i="2"/>
  <c r="H30" i="2"/>
  <c r="H28" i="2"/>
  <c r="H26" i="2"/>
  <c r="H192" i="2"/>
  <c r="H190" i="2"/>
  <c r="H186" i="2"/>
  <c r="H184" i="2"/>
  <c r="H182" i="2"/>
  <c r="H178" i="2"/>
  <c r="H176" i="2"/>
  <c r="H174" i="2"/>
  <c r="H170" i="2"/>
  <c r="H168" i="2"/>
  <c r="H166" i="2"/>
  <c r="H164" i="2"/>
  <c r="H162" i="2"/>
  <c r="H149" i="2"/>
  <c r="H147" i="2"/>
  <c r="H136" i="2"/>
  <c r="H134" i="2"/>
  <c r="H132" i="2"/>
  <c r="H121" i="2"/>
  <c r="H119" i="2"/>
  <c r="H108" i="2"/>
  <c r="H106" i="2"/>
  <c r="H104" i="2"/>
  <c r="H102" i="2"/>
  <c r="H100" i="2"/>
  <c r="H89" i="2"/>
  <c r="H87" i="2"/>
  <c r="H76" i="2"/>
  <c r="H74" i="2"/>
  <c r="H72" i="2"/>
  <c r="H70" i="2"/>
  <c r="H50" i="2"/>
  <c r="H48" i="2"/>
  <c r="H46" i="2"/>
  <c r="H44" i="2"/>
  <c r="H42" i="2"/>
  <c r="H23" i="2"/>
  <c r="H21" i="2"/>
  <c r="H16" i="2"/>
  <c r="C1" i="2"/>
  <c r="E13" i="12" l="1"/>
  <c r="A318" i="2"/>
  <c r="E53" i="3" s="1"/>
  <c r="D318" i="2"/>
  <c r="D323" i="2" s="1"/>
  <c r="B2" i="2" l="1"/>
  <c r="B1" i="2" l="1"/>
  <c r="D321" i="2" l="1"/>
  <c r="C326" i="2" s="1"/>
  <c r="C321" i="2"/>
  <c r="C325" i="2" s="1"/>
  <c r="A319" i="2"/>
  <c r="B322" i="2" s="1"/>
  <c r="D324" i="2" l="1"/>
  <c r="B318" i="2"/>
  <c r="I318" i="2" l="1"/>
  <c r="F53" i="3" s="1"/>
  <c r="B320" i="2"/>
  <c r="B323" i="2"/>
  <c r="B324" i="2"/>
  <c r="B326" i="2"/>
  <c r="B325" i="2"/>
  <c r="B321" i="2"/>
  <c r="H21" i="5" l="1"/>
  <c r="F62" i="5"/>
  <c r="L55" i="5"/>
  <c r="H50" i="5"/>
  <c r="H48" i="5"/>
  <c r="H43" i="5"/>
  <c r="H47" i="5" s="1"/>
  <c r="V42" i="5"/>
  <c r="C37" i="5"/>
  <c r="F34" i="5"/>
  <c r="D34" i="5"/>
  <c r="D36" i="5" s="1"/>
  <c r="C34" i="5"/>
  <c r="J32" i="5"/>
  <c r="J50" i="5" s="1"/>
  <c r="F32" i="5"/>
  <c r="F50" i="5" s="1"/>
  <c r="B32" i="5"/>
  <c r="L26" i="5"/>
  <c r="J21" i="5"/>
  <c r="F21" i="5"/>
  <c r="H19" i="5"/>
  <c r="H14" i="5"/>
  <c r="H18" i="5" s="1"/>
  <c r="J18" i="5" s="1"/>
  <c r="H10" i="5"/>
  <c r="C8" i="5"/>
  <c r="J6" i="5"/>
  <c r="L6" i="5" s="1"/>
  <c r="N6" i="5" s="1"/>
  <c r="Q21" i="5"/>
  <c r="H39" i="5" l="1"/>
  <c r="H45" i="5"/>
  <c r="H12" i="5"/>
  <c r="H16" i="5"/>
  <c r="L32" i="5"/>
  <c r="H41" i="5"/>
  <c r="J16" i="5" l="1"/>
  <c r="J14" i="5"/>
  <c r="J10" i="5"/>
  <c r="J12" i="5"/>
  <c r="L50" i="5"/>
  <c r="N32" i="5"/>
  <c r="N50" i="5" s="1"/>
  <c r="Q50" i="5" l="1"/>
  <c r="D290" i="2" l="1"/>
  <c r="C291" i="2" s="1"/>
  <c r="C293" i="2" s="1"/>
  <c r="C290" i="2"/>
  <c r="A289" i="2"/>
  <c r="A288" i="2"/>
  <c r="C292" i="2" l="1"/>
  <c r="F288" i="2"/>
  <c r="D292" i="2"/>
  <c r="G288" i="2"/>
  <c r="D291" i="2"/>
  <c r="D293" i="2" s="1"/>
  <c r="B291" i="2"/>
  <c r="B290" i="2"/>
  <c r="B292" i="2"/>
  <c r="B288" i="2"/>
  <c r="I288" i="2" s="1"/>
  <c r="A161" i="2" l="1"/>
  <c r="B168" i="2" s="1"/>
  <c r="B170" i="2" l="1"/>
  <c r="B166" i="2"/>
  <c r="B167" i="2"/>
  <c r="B169" i="2"/>
  <c r="C3" i="2"/>
  <c r="C100" i="2" l="1"/>
  <c r="C20" i="2"/>
  <c r="C53" i="2"/>
  <c r="F51" i="2" s="1"/>
  <c r="C13" i="3" s="1"/>
  <c r="C56" i="2"/>
  <c r="D209" i="2"/>
  <c r="H206" i="2" s="1"/>
  <c r="E38" i="3" s="1"/>
  <c r="D38" i="12" s="1"/>
  <c r="A207" i="2"/>
  <c r="B211" i="2" s="1"/>
  <c r="A206" i="2"/>
  <c r="C209" i="2" s="1"/>
  <c r="G206" i="2" s="1"/>
  <c r="E37" i="3" s="1"/>
  <c r="D37" i="12" s="1"/>
  <c r="C13" i="12" l="1"/>
  <c r="G13" i="3"/>
  <c r="M13" i="3" s="1"/>
  <c r="D211" i="2"/>
  <c r="B209" i="2"/>
  <c r="B208" i="2"/>
  <c r="B206" i="2"/>
  <c r="I206" i="2" s="1"/>
  <c r="B210" i="2"/>
  <c r="D90" i="2"/>
  <c r="H84" i="2"/>
  <c r="E20" i="3" s="1"/>
  <c r="D20" i="12" s="1"/>
  <c r="C87" i="2"/>
  <c r="G84" i="2" s="1"/>
  <c r="E19" i="3" s="1"/>
  <c r="D19" i="12" s="1"/>
  <c r="D84" i="2"/>
  <c r="A85" i="2"/>
  <c r="B90" i="2" s="1"/>
  <c r="A84" i="2"/>
  <c r="D280" i="2"/>
  <c r="C279" i="2"/>
  <c r="C281" i="2" s="1"/>
  <c r="D279" i="2"/>
  <c r="A278" i="2"/>
  <c r="B277" i="2" s="1"/>
  <c r="E171" i="2"/>
  <c r="D171" i="2"/>
  <c r="D178" i="2" s="1"/>
  <c r="A172" i="2"/>
  <c r="B178" i="2" s="1"/>
  <c r="A171" i="2"/>
  <c r="D233" i="2"/>
  <c r="D232" i="2"/>
  <c r="C232" i="2"/>
  <c r="C234" i="2" s="1"/>
  <c r="A231" i="2"/>
  <c r="A230" i="2"/>
  <c r="D227" i="2"/>
  <c r="D229" i="2" s="1"/>
  <c r="D226" i="2"/>
  <c r="A225" i="2"/>
  <c r="B229" i="2" s="1"/>
  <c r="A224" i="2"/>
  <c r="D249" i="2"/>
  <c r="C252" i="2" s="1"/>
  <c r="F37" i="3" l="1"/>
  <c r="F38" i="3"/>
  <c r="C229" i="2"/>
  <c r="G224" i="2"/>
  <c r="E42" i="3" s="1"/>
  <c r="C175" i="2"/>
  <c r="G171" i="2"/>
  <c r="E33" i="3" s="1"/>
  <c r="D33" i="12" s="1"/>
  <c r="B89" i="2"/>
  <c r="B86" i="2"/>
  <c r="B84" i="2"/>
  <c r="B87" i="2"/>
  <c r="B88" i="2"/>
  <c r="B281" i="2"/>
  <c r="B279" i="2"/>
  <c r="B280" i="2"/>
  <c r="D177" i="2"/>
  <c r="B174" i="2"/>
  <c r="B171" i="2"/>
  <c r="I171" i="2" s="1"/>
  <c r="F33" i="3" s="1"/>
  <c r="B173" i="2"/>
  <c r="D176" i="2"/>
  <c r="C178" i="2"/>
  <c r="B179" i="2"/>
  <c r="C179" i="2"/>
  <c r="B175" i="2"/>
  <c r="B176" i="2"/>
  <c r="D174" i="2"/>
  <c r="B177" i="2"/>
  <c r="C233" i="2"/>
  <c r="B232" i="2"/>
  <c r="D234" i="2"/>
  <c r="B233" i="2"/>
  <c r="B230" i="2"/>
  <c r="B234" i="2"/>
  <c r="C227" i="2"/>
  <c r="D228" i="2"/>
  <c r="B226" i="2"/>
  <c r="B227" i="2"/>
  <c r="B224" i="2"/>
  <c r="I224" i="2" s="1"/>
  <c r="B228" i="2"/>
  <c r="C18" i="2"/>
  <c r="D22" i="2"/>
  <c r="D23" i="2" s="1"/>
  <c r="A19" i="2"/>
  <c r="A18" i="2"/>
  <c r="G18" i="2" s="1"/>
  <c r="E8" i="3" s="1"/>
  <c r="D8" i="12" s="1"/>
  <c r="A24" i="2"/>
  <c r="G24" i="2" s="1"/>
  <c r="E9" i="3" s="1"/>
  <c r="D9" i="12" s="1"/>
  <c r="D24" i="2"/>
  <c r="E24" i="2"/>
  <c r="A25" i="2"/>
  <c r="B24" i="2" l="1"/>
  <c r="H24" i="2" s="1"/>
  <c r="F9" i="3" s="1"/>
  <c r="B27" i="2"/>
  <c r="B26" i="2"/>
  <c r="E37" i="12"/>
  <c r="F40" i="3"/>
  <c r="F42" i="3"/>
  <c r="E38" i="12"/>
  <c r="E33" i="12"/>
  <c r="J84" i="2"/>
  <c r="F20" i="3" s="1"/>
  <c r="I84" i="2"/>
  <c r="F19" i="3" s="1"/>
  <c r="C22" i="2"/>
  <c r="C29" i="2"/>
  <c r="C27" i="2"/>
  <c r="C28" i="2"/>
  <c r="B29" i="2"/>
  <c r="B28" i="2"/>
  <c r="B30" i="2"/>
  <c r="C23" i="2"/>
  <c r="C21" i="2"/>
  <c r="D30" i="2"/>
  <c r="B18" i="2"/>
  <c r="B21" i="2" s="1"/>
  <c r="E11" i="2"/>
  <c r="D11" i="2"/>
  <c r="B20" i="2" l="1"/>
  <c r="B23" i="2"/>
  <c r="B22" i="2"/>
  <c r="E19" i="12"/>
  <c r="E9" i="12"/>
  <c r="E20" i="12"/>
  <c r="H18" i="2"/>
  <c r="F8" i="3" s="1"/>
  <c r="A254" i="2"/>
  <c r="A356" i="2"/>
  <c r="E160" i="2"/>
  <c r="D160" i="2"/>
  <c r="C170" i="2" s="1"/>
  <c r="B164" i="2"/>
  <c r="A160" i="2"/>
  <c r="E151" i="2"/>
  <c r="D151" i="2"/>
  <c r="D158" i="2" s="1"/>
  <c r="A152" i="2"/>
  <c r="B158" i="2" s="1"/>
  <c r="A151" i="2"/>
  <c r="E67" i="2"/>
  <c r="E40" i="2"/>
  <c r="E31" i="2"/>
  <c r="D78" i="2"/>
  <c r="A99" i="2"/>
  <c r="B98" i="2" s="1"/>
  <c r="E98" i="2"/>
  <c r="D98" i="2"/>
  <c r="A98" i="2"/>
  <c r="B106" i="2" l="1"/>
  <c r="B108" i="2"/>
  <c r="B104" i="2"/>
  <c r="E8" i="12"/>
  <c r="G8" i="3"/>
  <c r="M8" i="3" s="1"/>
  <c r="H98" i="2"/>
  <c r="C155" i="2"/>
  <c r="G151" i="2"/>
  <c r="E30" i="3" s="1"/>
  <c r="D30" i="12" s="1"/>
  <c r="C164" i="2"/>
  <c r="H160" i="2"/>
  <c r="I98" i="2"/>
  <c r="F22" i="3" s="1"/>
  <c r="J98" i="2"/>
  <c r="F23" i="3" s="1"/>
  <c r="B253" i="2"/>
  <c r="I253" i="2" s="1"/>
  <c r="F44" i="3" s="1"/>
  <c r="B258" i="2"/>
  <c r="D163" i="2"/>
  <c r="D154" i="2"/>
  <c r="B165" i="2"/>
  <c r="B160" i="2"/>
  <c r="B162" i="2"/>
  <c r="D165" i="2"/>
  <c r="C166" i="2"/>
  <c r="C167" i="2"/>
  <c r="C168" i="2"/>
  <c r="B163" i="2"/>
  <c r="D168" i="2"/>
  <c r="C169" i="2"/>
  <c r="B154" i="2"/>
  <c r="C159" i="2"/>
  <c r="B151" i="2"/>
  <c r="H151" i="2" s="1"/>
  <c r="F30" i="3" s="1"/>
  <c r="B153" i="2"/>
  <c r="D156" i="2"/>
  <c r="C157" i="2"/>
  <c r="C158" i="2"/>
  <c r="B159" i="2"/>
  <c r="B155" i="2"/>
  <c r="B156" i="2"/>
  <c r="B157" i="2"/>
  <c r="C108" i="2"/>
  <c r="C102" i="2"/>
  <c r="D67" i="2"/>
  <c r="C76" i="2" s="1"/>
  <c r="A68" i="2"/>
  <c r="A67" i="2"/>
  <c r="D40" i="2"/>
  <c r="C49" i="2" s="1"/>
  <c r="D31" i="2"/>
  <c r="D38" i="2" s="1"/>
  <c r="A41" i="2"/>
  <c r="A40" i="2"/>
  <c r="A32" i="2"/>
  <c r="A31" i="2"/>
  <c r="G323" i="2"/>
  <c r="E32" i="3" l="1"/>
  <c r="D32" i="12" s="1"/>
  <c r="E31" i="3"/>
  <c r="D31" i="12" s="1"/>
  <c r="E30" i="12"/>
  <c r="E23" i="3"/>
  <c r="D23" i="12" s="1"/>
  <c r="E22" i="3"/>
  <c r="D22" i="12" s="1"/>
  <c r="E22" i="12"/>
  <c r="E23" i="12"/>
  <c r="H40" i="2"/>
  <c r="H67" i="2"/>
  <c r="G31" i="2"/>
  <c r="E10" i="3" s="1"/>
  <c r="D10" i="12" s="1"/>
  <c r="J160" i="2"/>
  <c r="F32" i="3" s="1"/>
  <c r="I160" i="2"/>
  <c r="F31" i="3" s="1"/>
  <c r="C70" i="2"/>
  <c r="G343" i="2"/>
  <c r="G345" i="2"/>
  <c r="G347" i="2"/>
  <c r="G346" i="2"/>
  <c r="G344" i="2"/>
  <c r="C50" i="2"/>
  <c r="D48" i="2"/>
  <c r="C48" i="2"/>
  <c r="C46" i="2"/>
  <c r="G325" i="2"/>
  <c r="G324" i="2"/>
  <c r="G321" i="2"/>
  <c r="G326" i="2"/>
  <c r="G320" i="2"/>
  <c r="G322" i="2"/>
  <c r="G293" i="2"/>
  <c r="G292" i="2"/>
  <c r="G291" i="2"/>
  <c r="G290" i="2"/>
  <c r="G208" i="2"/>
  <c r="G211" i="2"/>
  <c r="G209" i="2"/>
  <c r="G210" i="2"/>
  <c r="G279" i="2"/>
  <c r="G281" i="2"/>
  <c r="G280" i="2"/>
  <c r="G232" i="2"/>
  <c r="G234" i="2"/>
  <c r="G233" i="2"/>
  <c r="G226" i="2"/>
  <c r="G229" i="2"/>
  <c r="G228" i="2"/>
  <c r="G227" i="2"/>
  <c r="C38" i="2"/>
  <c r="D45" i="2"/>
  <c r="B40" i="2"/>
  <c r="G301" i="2"/>
  <c r="G302" i="2"/>
  <c r="C75" i="2"/>
  <c r="B36" i="2"/>
  <c r="B31" i="2"/>
  <c r="H31" i="2" s="1"/>
  <c r="F10" i="3" s="1"/>
  <c r="B72" i="2"/>
  <c r="B67" i="2"/>
  <c r="B43" i="2"/>
  <c r="B100" i="2"/>
  <c r="D103" i="2"/>
  <c r="C104" i="2"/>
  <c r="C105" i="2"/>
  <c r="C106" i="2"/>
  <c r="B107" i="2"/>
  <c r="B101" i="2"/>
  <c r="D106" i="2"/>
  <c r="C107" i="2"/>
  <c r="C101" i="2"/>
  <c r="B102" i="2"/>
  <c r="B103" i="2"/>
  <c r="B105" i="2"/>
  <c r="C77" i="2"/>
  <c r="C71" i="2"/>
  <c r="D75" i="2"/>
  <c r="B70" i="2"/>
  <c r="B73" i="2"/>
  <c r="B74" i="2"/>
  <c r="B75" i="2"/>
  <c r="B69" i="2"/>
  <c r="D72" i="2"/>
  <c r="C73" i="2"/>
  <c r="C74" i="2"/>
  <c r="B76" i="2"/>
  <c r="B77" i="2"/>
  <c r="B71" i="2"/>
  <c r="C47" i="2"/>
  <c r="C39" i="2"/>
  <c r="B37" i="2"/>
  <c r="B38" i="2"/>
  <c r="B39" i="2"/>
  <c r="B34" i="2"/>
  <c r="C37" i="2"/>
  <c r="B44" i="2"/>
  <c r="B45" i="2"/>
  <c r="B42" i="2"/>
  <c r="C44" i="2"/>
  <c r="C43" i="2"/>
  <c r="B33" i="2"/>
  <c r="C35" i="2"/>
  <c r="D36" i="2"/>
  <c r="C34" i="2"/>
  <c r="B35" i="2"/>
  <c r="A79" i="2"/>
  <c r="B78" i="2" s="1"/>
  <c r="A78" i="2"/>
  <c r="A370" i="2"/>
  <c r="A363" i="2"/>
  <c r="B362" i="2" s="1"/>
  <c r="A362" i="2"/>
  <c r="B355" i="2"/>
  <c r="A355" i="2"/>
  <c r="A349" i="2"/>
  <c r="B348" i="2" s="1"/>
  <c r="I348" i="2" s="1"/>
  <c r="F57" i="3" s="1"/>
  <c r="A348" i="2"/>
  <c r="A342" i="2"/>
  <c r="A341" i="2"/>
  <c r="A335" i="2"/>
  <c r="B334" i="2" s="1"/>
  <c r="I334" i="2" s="1"/>
  <c r="F55" i="3" s="1"/>
  <c r="A334" i="2"/>
  <c r="A328" i="2"/>
  <c r="B327" i="2" s="1"/>
  <c r="I327" i="2" s="1"/>
  <c r="F54" i="3" s="1"/>
  <c r="A327" i="2"/>
  <c r="A312" i="2"/>
  <c r="B311" i="2" s="1"/>
  <c r="I311" i="2" s="1"/>
  <c r="F52" i="3" s="1"/>
  <c r="A311" i="2"/>
  <c r="G311" i="2" s="1"/>
  <c r="E52" i="3" s="1"/>
  <c r="C89" i="2"/>
  <c r="A60" i="2"/>
  <c r="A61" i="2"/>
  <c r="I355" i="2" l="1"/>
  <c r="F58" i="3" s="1"/>
  <c r="B360" i="2"/>
  <c r="B361" i="2"/>
  <c r="B358" i="2"/>
  <c r="I362" i="2"/>
  <c r="F59" i="3" s="1"/>
  <c r="B367" i="2"/>
  <c r="E41" i="12"/>
  <c r="G23" i="3"/>
  <c r="M23" i="3" s="1"/>
  <c r="B369" i="2"/>
  <c r="C333" i="2"/>
  <c r="G327" i="2"/>
  <c r="E54" i="3" s="1"/>
  <c r="C358" i="2"/>
  <c r="G355" i="2"/>
  <c r="E58" i="3" s="1"/>
  <c r="D344" i="2"/>
  <c r="D346" i="2" s="1"/>
  <c r="D347" i="2" s="1"/>
  <c r="G341" i="2"/>
  <c r="E56" i="3" s="1"/>
  <c r="D40" i="12" s="1"/>
  <c r="D373" i="2"/>
  <c r="G369" i="2"/>
  <c r="E60" i="3" s="1"/>
  <c r="C340" i="2"/>
  <c r="G334" i="2"/>
  <c r="E55" i="3" s="1"/>
  <c r="D353" i="2"/>
  <c r="G348" i="2"/>
  <c r="E57" i="3" s="1"/>
  <c r="D41" i="12" s="1"/>
  <c r="D365" i="2"/>
  <c r="G362" i="2"/>
  <c r="E59" i="3" s="1"/>
  <c r="E31" i="12"/>
  <c r="G31" i="3"/>
  <c r="M31" i="3" s="1"/>
  <c r="E32" i="12"/>
  <c r="G32" i="3"/>
  <c r="M32" i="3" s="1"/>
  <c r="E16" i="3"/>
  <c r="D16" i="12" s="1"/>
  <c r="E15" i="3"/>
  <c r="D15" i="12" s="1"/>
  <c r="G22" i="3"/>
  <c r="M22" i="3" s="1"/>
  <c r="E11" i="3"/>
  <c r="D11" i="12" s="1"/>
  <c r="E12" i="3"/>
  <c r="D12" i="12" s="1"/>
  <c r="E10" i="12"/>
  <c r="G60" i="2"/>
  <c r="E14" i="3" s="1"/>
  <c r="D14" i="12" s="1"/>
  <c r="I67" i="2"/>
  <c r="F15" i="3" s="1"/>
  <c r="J67" i="2"/>
  <c r="F16" i="3" s="1"/>
  <c r="I40" i="2"/>
  <c r="F11" i="3" s="1"/>
  <c r="J40" i="2"/>
  <c r="F12" i="3" s="1"/>
  <c r="J78" i="2"/>
  <c r="F18" i="3" s="1"/>
  <c r="I78" i="2"/>
  <c r="F17" i="3" s="1"/>
  <c r="C64" i="2"/>
  <c r="B50" i="2"/>
  <c r="B46" i="2"/>
  <c r="B49" i="2"/>
  <c r="B47" i="2"/>
  <c r="B347" i="2"/>
  <c r="B346" i="2"/>
  <c r="B345" i="2"/>
  <c r="B344" i="2"/>
  <c r="B343" i="2"/>
  <c r="B48" i="2"/>
  <c r="C317" i="2"/>
  <c r="C90" i="2"/>
  <c r="C86" i="2"/>
  <c r="F84" i="2" s="1"/>
  <c r="C88" i="2"/>
  <c r="D81" i="2"/>
  <c r="C81" i="2"/>
  <c r="G78" i="2" s="1"/>
  <c r="E17" i="3" s="1"/>
  <c r="D17" i="12" s="1"/>
  <c r="C176" i="2"/>
  <c r="C173" i="2"/>
  <c r="F171" i="2" s="1"/>
  <c r="C33" i="3" s="1"/>
  <c r="C30" i="2"/>
  <c r="C26" i="2"/>
  <c r="B341" i="2"/>
  <c r="I341" i="2" s="1"/>
  <c r="F56" i="3" s="1"/>
  <c r="B60" i="2"/>
  <c r="H60" i="2" s="1"/>
  <c r="F14" i="3" s="1"/>
  <c r="B64" i="2"/>
  <c r="C165" i="2"/>
  <c r="C162" i="2"/>
  <c r="C156" i="2"/>
  <c r="C153" i="2"/>
  <c r="F151" i="2" s="1"/>
  <c r="C30" i="3" s="1"/>
  <c r="B339" i="2"/>
  <c r="B368" i="2"/>
  <c r="B316" i="2"/>
  <c r="B351" i="2"/>
  <c r="B81" i="2"/>
  <c r="B331" i="2"/>
  <c r="B359" i="2"/>
  <c r="C103" i="2"/>
  <c r="C72" i="2"/>
  <c r="C69" i="2"/>
  <c r="C42" i="2"/>
  <c r="C45" i="2"/>
  <c r="C80" i="2"/>
  <c r="F78" i="2" s="1"/>
  <c r="C36" i="2"/>
  <c r="C33" i="2"/>
  <c r="F31" i="2" s="1"/>
  <c r="C10" i="3" s="1"/>
  <c r="C10" i="12" s="1"/>
  <c r="B83" i="2"/>
  <c r="B82" i="2"/>
  <c r="C83" i="2"/>
  <c r="D83" i="2"/>
  <c r="C82" i="2"/>
  <c r="B80" i="2"/>
  <c r="C330" i="2"/>
  <c r="D352" i="2"/>
  <c r="B354" i="2"/>
  <c r="C316" i="2"/>
  <c r="D366" i="2"/>
  <c r="D372" i="2"/>
  <c r="B374" i="2"/>
  <c r="B371" i="2"/>
  <c r="B372" i="2"/>
  <c r="D374" i="2"/>
  <c r="B373" i="2"/>
  <c r="D375" i="2"/>
  <c r="B364" i="2"/>
  <c r="B357" i="2"/>
  <c r="D359" i="2"/>
  <c r="C360" i="2"/>
  <c r="B365" i="2"/>
  <c r="D367" i="2"/>
  <c r="C361" i="2"/>
  <c r="B366" i="2"/>
  <c r="D368" i="2"/>
  <c r="B352" i="2"/>
  <c r="D354" i="2"/>
  <c r="D351" i="2"/>
  <c r="B353" i="2"/>
  <c r="B350" i="2"/>
  <c r="D315" i="2"/>
  <c r="D331" i="2"/>
  <c r="C332" i="2"/>
  <c r="C339" i="2"/>
  <c r="C314" i="2"/>
  <c r="B336" i="2"/>
  <c r="B340" i="2"/>
  <c r="B337" i="2"/>
  <c r="C337" i="2"/>
  <c r="D338" i="2"/>
  <c r="B338" i="2"/>
  <c r="B330" i="2"/>
  <c r="B315" i="2"/>
  <c r="B314" i="2"/>
  <c r="B313" i="2"/>
  <c r="B317" i="2"/>
  <c r="B332" i="2"/>
  <c r="B329" i="2"/>
  <c r="B333" i="2"/>
  <c r="A306" i="2"/>
  <c r="A305" i="2"/>
  <c r="A300" i="2"/>
  <c r="A299" i="2"/>
  <c r="A295" i="2"/>
  <c r="A294" i="2"/>
  <c r="G294" i="2" s="1"/>
  <c r="E49" i="3" s="1"/>
  <c r="A283" i="2"/>
  <c r="A282" i="2"/>
  <c r="A266" i="2"/>
  <c r="A265" i="2"/>
  <c r="C268" i="2" s="1"/>
  <c r="A260" i="2"/>
  <c r="A259" i="2"/>
  <c r="B257" i="2"/>
  <c r="B256" i="2"/>
  <c r="B255" i="2"/>
  <c r="A253" i="2"/>
  <c r="A248" i="2"/>
  <c r="B247" i="2" s="1"/>
  <c r="I247" i="2" s="1"/>
  <c r="A247" i="2"/>
  <c r="A242" i="2"/>
  <c r="B241" i="2" s="1"/>
  <c r="I241" i="2" s="1"/>
  <c r="F43" i="3" s="1"/>
  <c r="A241" i="2"/>
  <c r="A236" i="2"/>
  <c r="B235" i="2" s="1"/>
  <c r="I235" i="2" s="1"/>
  <c r="A235" i="2"/>
  <c r="A219" i="2"/>
  <c r="B218" i="2" s="1"/>
  <c r="I218" i="2" s="1"/>
  <c r="A218" i="2"/>
  <c r="A213" i="2"/>
  <c r="B212" i="2" s="1"/>
  <c r="I212" i="2" s="1"/>
  <c r="F39" i="3" s="1"/>
  <c r="A212" i="2"/>
  <c r="A201" i="2"/>
  <c r="B200" i="2" s="1"/>
  <c r="I200" i="2" s="1"/>
  <c r="F41" i="3" s="1"/>
  <c r="A200" i="2"/>
  <c r="C6" i="2"/>
  <c r="C273" i="2" s="1"/>
  <c r="F271" i="2" s="1"/>
  <c r="C47" i="3" s="1"/>
  <c r="G47" i="3" s="1"/>
  <c r="M47" i="3" s="1"/>
  <c r="A195" i="2"/>
  <c r="B194" i="2" s="1"/>
  <c r="I194" i="2" s="1"/>
  <c r="F36" i="3" s="1"/>
  <c r="A194" i="2"/>
  <c r="A188" i="2"/>
  <c r="B191" i="2" s="1"/>
  <c r="A187" i="2"/>
  <c r="H323" i="2"/>
  <c r="A131" i="2"/>
  <c r="A130" i="2"/>
  <c r="A124" i="2"/>
  <c r="A123" i="2"/>
  <c r="A181" i="2"/>
  <c r="B184" i="2" s="1"/>
  <c r="A180" i="2"/>
  <c r="A145" i="2"/>
  <c r="B148" i="2" s="1"/>
  <c r="A144" i="2"/>
  <c r="A138" i="2"/>
  <c r="B141" i="2" s="1"/>
  <c r="A137" i="2"/>
  <c r="A117" i="2"/>
  <c r="A116" i="2"/>
  <c r="A110" i="2"/>
  <c r="A109" i="2"/>
  <c r="A92" i="2"/>
  <c r="A91" i="2"/>
  <c r="B63" i="2"/>
  <c r="C65" i="2"/>
  <c r="A12" i="2"/>
  <c r="A11" i="2"/>
  <c r="G11" i="2" s="1"/>
  <c r="E7" i="3" s="1"/>
  <c r="D7" i="12" s="1"/>
  <c r="C150" i="2"/>
  <c r="C4" i="2"/>
  <c r="C5" i="2"/>
  <c r="C7" i="2"/>
  <c r="D273" i="2" s="1"/>
  <c r="C9" i="2"/>
  <c r="C8" i="2"/>
  <c r="D54" i="2" l="1"/>
  <c r="D53" i="2"/>
  <c r="C371" i="2"/>
  <c r="F369" i="2" s="1"/>
  <c r="C60" i="3" s="1"/>
  <c r="E40" i="12"/>
  <c r="E36" i="12"/>
  <c r="C270" i="2"/>
  <c r="G265" i="2"/>
  <c r="E46" i="3" s="1"/>
  <c r="C256" i="2"/>
  <c r="G253" i="2"/>
  <c r="E44" i="3" s="1"/>
  <c r="C264" i="2"/>
  <c r="G259" i="2"/>
  <c r="E45" i="3" s="1"/>
  <c r="D274" i="2"/>
  <c r="D276" i="2"/>
  <c r="C275" i="2"/>
  <c r="E39" i="12"/>
  <c r="D303" i="2"/>
  <c r="G299" i="2"/>
  <c r="E50" i="3" s="1"/>
  <c r="D309" i="2"/>
  <c r="G305" i="2"/>
  <c r="E51" i="3" s="1"/>
  <c r="C287" i="2"/>
  <c r="G282" i="2"/>
  <c r="E48" i="3" s="1"/>
  <c r="I369" i="2"/>
  <c r="F60" i="3" s="1"/>
  <c r="B375" i="2"/>
  <c r="D343" i="2"/>
  <c r="C344" i="2" s="1"/>
  <c r="D345" i="2" s="1"/>
  <c r="D371" i="2"/>
  <c r="D240" i="2"/>
  <c r="G235" i="2"/>
  <c r="D252" i="2"/>
  <c r="G247" i="2"/>
  <c r="D204" i="2"/>
  <c r="G200" i="2"/>
  <c r="E41" i="3" s="1"/>
  <c r="D244" i="2"/>
  <c r="G241" i="2"/>
  <c r="E43" i="3" s="1"/>
  <c r="C30" i="12"/>
  <c r="G30" i="3"/>
  <c r="M30" i="3" s="1"/>
  <c r="C33" i="12"/>
  <c r="G33" i="3"/>
  <c r="M33" i="3" s="1"/>
  <c r="G10" i="3"/>
  <c r="M10" i="3" s="1"/>
  <c r="C19" i="3"/>
  <c r="C20" i="3"/>
  <c r="C17" i="3"/>
  <c r="C17" i="12" s="1"/>
  <c r="C18" i="3"/>
  <c r="C18" i="12" s="1"/>
  <c r="E12" i="12"/>
  <c r="G12" i="3"/>
  <c r="M12" i="3" s="1"/>
  <c r="E14" i="12"/>
  <c r="E17" i="12"/>
  <c r="E16" i="12"/>
  <c r="G16" i="3"/>
  <c r="M16" i="3" s="1"/>
  <c r="E11" i="12"/>
  <c r="G11" i="3"/>
  <c r="M11" i="3" s="1"/>
  <c r="E18" i="12"/>
  <c r="E15" i="12"/>
  <c r="G15" i="3"/>
  <c r="M15" i="3" s="1"/>
  <c r="D216" i="2"/>
  <c r="G212" i="2"/>
  <c r="E39" i="3" s="1"/>
  <c r="D39" i="12" s="1"/>
  <c r="D222" i="2"/>
  <c r="G218" i="2"/>
  <c r="E40" i="3" s="1"/>
  <c r="D198" i="2"/>
  <c r="G194" i="2"/>
  <c r="E36" i="3" s="1"/>
  <c r="D36" i="12" s="1"/>
  <c r="D86" i="2"/>
  <c r="G109" i="2"/>
  <c r="E24" i="3" s="1"/>
  <c r="D24" i="12" s="1"/>
  <c r="D141" i="2"/>
  <c r="G137" i="2"/>
  <c r="E28" i="3" s="1"/>
  <c r="D28" i="12" s="1"/>
  <c r="G180" i="2"/>
  <c r="E34" i="3" s="1"/>
  <c r="D34" i="12" s="1"/>
  <c r="G130" i="2"/>
  <c r="E27" i="3" s="1"/>
  <c r="D27" i="12" s="1"/>
  <c r="G91" i="2"/>
  <c r="E21" i="3" s="1"/>
  <c r="D21" i="12" s="1"/>
  <c r="G116" i="2"/>
  <c r="E25" i="3" s="1"/>
  <c r="D25" i="12" s="1"/>
  <c r="G144" i="2"/>
  <c r="E29" i="3" s="1"/>
  <c r="D29" i="12" s="1"/>
  <c r="G123" i="2"/>
  <c r="E26" i="3" s="1"/>
  <c r="D26" i="12" s="1"/>
  <c r="G187" i="2"/>
  <c r="E35" i="3" s="1"/>
  <c r="D35" i="12" s="1"/>
  <c r="F24" i="2"/>
  <c r="C9" i="3" s="1"/>
  <c r="H78" i="2"/>
  <c r="E18" i="3" s="1"/>
  <c r="D18" i="12" s="1"/>
  <c r="M81" i="2"/>
  <c r="C343" i="2"/>
  <c r="C323" i="2"/>
  <c r="H346" i="2"/>
  <c r="H343" i="2"/>
  <c r="H345" i="2"/>
  <c r="H347" i="2"/>
  <c r="H344" i="2"/>
  <c r="H325" i="2"/>
  <c r="H293" i="2"/>
  <c r="H291" i="2"/>
  <c r="H290" i="2"/>
  <c r="H292" i="2"/>
  <c r="H281" i="2"/>
  <c r="H280" i="2"/>
  <c r="H279" i="2"/>
  <c r="C322" i="2"/>
  <c r="C324" i="2"/>
  <c r="C320" i="2"/>
  <c r="F318" i="2" s="1"/>
  <c r="C53" i="3" s="1"/>
  <c r="G53" i="3" s="1"/>
  <c r="M53" i="3" s="1"/>
  <c r="D320" i="2"/>
  <c r="H322" i="2"/>
  <c r="H326" i="2"/>
  <c r="H320" i="2"/>
  <c r="H324" i="2"/>
  <c r="H321" i="2"/>
  <c r="H211" i="2"/>
  <c r="H210" i="2"/>
  <c r="H208" i="2"/>
  <c r="H209" i="2"/>
  <c r="D208" i="2"/>
  <c r="C208" i="2"/>
  <c r="B299" i="2"/>
  <c r="I299" i="2" s="1"/>
  <c r="F50" i="3" s="1"/>
  <c r="B304" i="2"/>
  <c r="B259" i="2"/>
  <c r="I259" i="2" s="1"/>
  <c r="F45" i="3" s="1"/>
  <c r="B264" i="2"/>
  <c r="B282" i="2"/>
  <c r="I282" i="2" s="1"/>
  <c r="F48" i="3" s="1"/>
  <c r="B287" i="2"/>
  <c r="B294" i="2"/>
  <c r="I294" i="2" s="1"/>
  <c r="F49" i="3" s="1"/>
  <c r="B305" i="2"/>
  <c r="I305" i="2" s="1"/>
  <c r="F51" i="3" s="1"/>
  <c r="B310" i="2"/>
  <c r="B265" i="2"/>
  <c r="I265" i="2" s="1"/>
  <c r="F46" i="3" s="1"/>
  <c r="B270" i="2"/>
  <c r="C255" i="2"/>
  <c r="F253" i="2" s="1"/>
  <c r="C44" i="3" s="1"/>
  <c r="C174" i="2"/>
  <c r="D173" i="2"/>
  <c r="H234" i="2"/>
  <c r="H233" i="2"/>
  <c r="H232" i="2"/>
  <c r="H229" i="2"/>
  <c r="H228" i="2"/>
  <c r="H227" i="2"/>
  <c r="H226" i="2"/>
  <c r="C228" i="2"/>
  <c r="C226" i="2"/>
  <c r="F224" i="2" s="1"/>
  <c r="C42" i="3" s="1"/>
  <c r="G42" i="3" s="1"/>
  <c r="M42" i="3" s="1"/>
  <c r="D21" i="2"/>
  <c r="D27" i="2"/>
  <c r="D28" i="2"/>
  <c r="D26" i="2"/>
  <c r="C163" i="2"/>
  <c r="D287" i="2"/>
  <c r="D217" i="2"/>
  <c r="D270" i="2"/>
  <c r="C246" i="2"/>
  <c r="D205" i="2"/>
  <c r="C310" i="2"/>
  <c r="D264" i="2"/>
  <c r="C240" i="2"/>
  <c r="C304" i="2"/>
  <c r="D258" i="2"/>
  <c r="D223" i="2"/>
  <c r="C375" i="2"/>
  <c r="C368" i="2"/>
  <c r="C354" i="2"/>
  <c r="B109" i="2"/>
  <c r="B113" i="2"/>
  <c r="B11" i="2"/>
  <c r="H11" i="2" s="1"/>
  <c r="F7" i="3" s="1"/>
  <c r="B15" i="2"/>
  <c r="B91" i="2"/>
  <c r="B95" i="2"/>
  <c r="B116" i="2"/>
  <c r="B120" i="2"/>
  <c r="B123" i="2"/>
  <c r="B127" i="2"/>
  <c r="B130" i="2"/>
  <c r="B134" i="2"/>
  <c r="D162" i="2"/>
  <c r="C154" i="2"/>
  <c r="B187" i="2"/>
  <c r="I187" i="2" s="1"/>
  <c r="B144" i="2"/>
  <c r="I144" i="2" s="1"/>
  <c r="F29" i="3" s="1"/>
  <c r="B137" i="2"/>
  <c r="I137" i="2" s="1"/>
  <c r="F28" i="3" s="1"/>
  <c r="B180" i="2"/>
  <c r="I180" i="2" s="1"/>
  <c r="C191" i="2"/>
  <c r="D153" i="2"/>
  <c r="D193" i="2"/>
  <c r="D191" i="2"/>
  <c r="D186" i="2"/>
  <c r="D184" i="2"/>
  <c r="C141" i="2"/>
  <c r="C184" i="2"/>
  <c r="C148" i="2"/>
  <c r="D147" i="2"/>
  <c r="D148" i="2"/>
  <c r="B240" i="2"/>
  <c r="B140" i="2"/>
  <c r="B185" i="2"/>
  <c r="B192" i="2"/>
  <c r="B269" i="2"/>
  <c r="B309" i="2"/>
  <c r="B223" i="2"/>
  <c r="B243" i="2"/>
  <c r="D143" i="2"/>
  <c r="B250" i="2"/>
  <c r="B136" i="2"/>
  <c r="B298" i="2"/>
  <c r="B97" i="2"/>
  <c r="B121" i="2"/>
  <c r="B126" i="2"/>
  <c r="B263" i="2"/>
  <c r="B286" i="2"/>
  <c r="B301" i="2"/>
  <c r="B215" i="2"/>
  <c r="B202" i="2"/>
  <c r="B197" i="2"/>
  <c r="B150" i="2"/>
  <c r="B115" i="2"/>
  <c r="D101" i="2"/>
  <c r="D100" i="2"/>
  <c r="D69" i="2"/>
  <c r="D70" i="2"/>
  <c r="D42" i="2"/>
  <c r="D43" i="2"/>
  <c r="D134" i="2"/>
  <c r="D34" i="2"/>
  <c r="D33" i="2"/>
  <c r="C133" i="2"/>
  <c r="C134" i="2"/>
  <c r="C128" i="2"/>
  <c r="C127" i="2"/>
  <c r="D120" i="2"/>
  <c r="D127" i="2"/>
  <c r="D122" i="2"/>
  <c r="C120" i="2"/>
  <c r="D95" i="2"/>
  <c r="D113" i="2"/>
  <c r="C112" i="2"/>
  <c r="C113" i="2"/>
  <c r="C94" i="2"/>
  <c r="C95" i="2"/>
  <c r="D15" i="2"/>
  <c r="D64" i="2"/>
  <c r="D17" i="2"/>
  <c r="C15" i="2"/>
  <c r="B17" i="2"/>
  <c r="D182" i="2"/>
  <c r="D80" i="2"/>
  <c r="C372" i="2"/>
  <c r="C365" i="2"/>
  <c r="D357" i="2"/>
  <c r="D361" i="2" s="1"/>
  <c r="C353" i="2"/>
  <c r="D350" i="2"/>
  <c r="C367" i="2"/>
  <c r="C351" i="2"/>
  <c r="D364" i="2"/>
  <c r="D358" i="2"/>
  <c r="D360" i="2" s="1"/>
  <c r="C374" i="2"/>
  <c r="G375" i="2"/>
  <c r="G366" i="2"/>
  <c r="G360" i="2"/>
  <c r="G357" i="2"/>
  <c r="G353" i="2"/>
  <c r="G350" i="2"/>
  <c r="G373" i="2"/>
  <c r="G367" i="2"/>
  <c r="G358" i="2"/>
  <c r="G354" i="2"/>
  <c r="G374" i="2"/>
  <c r="G371" i="2"/>
  <c r="G361" i="2"/>
  <c r="G372" i="2"/>
  <c r="G368" i="2"/>
  <c r="G352" i="2"/>
  <c r="G351" i="2"/>
  <c r="G364" i="2"/>
  <c r="G365" i="2"/>
  <c r="G359" i="2"/>
  <c r="H373" i="2"/>
  <c r="H367" i="2"/>
  <c r="H358" i="2"/>
  <c r="H354" i="2"/>
  <c r="H351" i="2"/>
  <c r="H374" i="2"/>
  <c r="H364" i="2"/>
  <c r="H372" i="2"/>
  <c r="H365" i="2"/>
  <c r="H359" i="2"/>
  <c r="H375" i="2"/>
  <c r="H366" i="2"/>
  <c r="H357" i="2"/>
  <c r="H353" i="2"/>
  <c r="H371" i="2"/>
  <c r="H361" i="2"/>
  <c r="H368" i="2"/>
  <c r="H352" i="2"/>
  <c r="H360" i="2"/>
  <c r="H350" i="2"/>
  <c r="C366" i="2"/>
  <c r="C373" i="2"/>
  <c r="C357" i="2"/>
  <c r="C350" i="2"/>
  <c r="F348" i="2" s="1"/>
  <c r="C57" i="3" s="1"/>
  <c r="C41" i="12" s="1"/>
  <c r="C352" i="2"/>
  <c r="C364" i="2"/>
  <c r="F362" i="2" s="1"/>
  <c r="C59" i="3" s="1"/>
  <c r="G59" i="3" s="1"/>
  <c r="M59" i="3" s="1"/>
  <c r="G333" i="2"/>
  <c r="G329" i="2"/>
  <c r="G315" i="2"/>
  <c r="G313" i="2"/>
  <c r="G340" i="2"/>
  <c r="G336" i="2"/>
  <c r="G330" i="2"/>
  <c r="G339" i="2"/>
  <c r="G338" i="2"/>
  <c r="G332" i="2"/>
  <c r="G337" i="2"/>
  <c r="G317" i="2"/>
  <c r="G331" i="2"/>
  <c r="G316" i="2"/>
  <c r="G314" i="2"/>
  <c r="C338" i="2"/>
  <c r="C313" i="2"/>
  <c r="F311" i="2" s="1"/>
  <c r="C52" i="3" s="1"/>
  <c r="G52" i="3" s="1"/>
  <c r="M52" i="3" s="1"/>
  <c r="C336" i="2"/>
  <c r="F334" i="2" s="1"/>
  <c r="C55" i="3" s="1"/>
  <c r="G55" i="3" s="1"/>
  <c r="M55" i="3" s="1"/>
  <c r="C329" i="2"/>
  <c r="F327" i="2" s="1"/>
  <c r="C54" i="3" s="1"/>
  <c r="G54" i="3" s="1"/>
  <c r="M54" i="3" s="1"/>
  <c r="C315" i="2"/>
  <c r="C331" i="2"/>
  <c r="D339" i="2"/>
  <c r="D332" i="2"/>
  <c r="D314" i="2"/>
  <c r="D329" i="2"/>
  <c r="D333" i="2" s="1"/>
  <c r="D313" i="2"/>
  <c r="D317" i="2" s="1"/>
  <c r="D316" i="2"/>
  <c r="D336" i="2"/>
  <c r="D340" i="2" s="1"/>
  <c r="D330" i="2"/>
  <c r="D337" i="2"/>
  <c r="H340" i="2"/>
  <c r="H336" i="2"/>
  <c r="H330" i="2"/>
  <c r="H337" i="2"/>
  <c r="H333" i="2"/>
  <c r="H331" i="2"/>
  <c r="H316" i="2"/>
  <c r="H314" i="2"/>
  <c r="H329" i="2"/>
  <c r="H313" i="2"/>
  <c r="H339" i="2"/>
  <c r="H338" i="2"/>
  <c r="H332" i="2"/>
  <c r="H317" i="2"/>
  <c r="H315" i="2"/>
  <c r="D250" i="2"/>
  <c r="C249" i="2"/>
  <c r="F247" i="2" s="1"/>
  <c r="D297" i="2"/>
  <c r="C308" i="2"/>
  <c r="D190" i="2"/>
  <c r="C199" i="2"/>
  <c r="B262" i="2"/>
  <c r="C217" i="2"/>
  <c r="D310" i="2"/>
  <c r="C237" i="2"/>
  <c r="F235" i="2" s="1"/>
  <c r="C243" i="2"/>
  <c r="F241" i="2" s="1"/>
  <c r="C43" i="3" s="1"/>
  <c r="C215" i="2"/>
  <c r="D238" i="2"/>
  <c r="B245" i="2"/>
  <c r="D251" i="2"/>
  <c r="D298" i="2"/>
  <c r="D269" i="2"/>
  <c r="D302" i="2"/>
  <c r="D308" i="2"/>
  <c r="D189" i="2"/>
  <c r="C205" i="2"/>
  <c r="D246" i="2"/>
  <c r="B285" i="2"/>
  <c r="C223" i="2"/>
  <c r="C238" i="2"/>
  <c r="C250" i="2"/>
  <c r="B297" i="2"/>
  <c r="C298" i="2"/>
  <c r="C258" i="2"/>
  <c r="C269" i="2"/>
  <c r="C286" i="2"/>
  <c r="C301" i="2"/>
  <c r="F299" i="2" s="1"/>
  <c r="C50" i="3" s="1"/>
  <c r="C309" i="2"/>
  <c r="G307" i="2"/>
  <c r="G303" i="2"/>
  <c r="G296" i="2"/>
  <c r="G284" i="2"/>
  <c r="G267" i="2"/>
  <c r="G261" i="2"/>
  <c r="G255" i="2"/>
  <c r="G249" i="2"/>
  <c r="G243" i="2"/>
  <c r="G237" i="2"/>
  <c r="G220" i="2"/>
  <c r="G214" i="2"/>
  <c r="G202" i="2"/>
  <c r="G196" i="2"/>
  <c r="G309" i="2"/>
  <c r="G286" i="2"/>
  <c r="G263" i="2"/>
  <c r="G251" i="2"/>
  <c r="G239" i="2"/>
  <c r="G216" i="2"/>
  <c r="G198" i="2"/>
  <c r="G310" i="2"/>
  <c r="G287" i="2"/>
  <c r="G270" i="2"/>
  <c r="G264" i="2"/>
  <c r="G258" i="2"/>
  <c r="G252" i="2"/>
  <c r="G246" i="2"/>
  <c r="G240" i="2"/>
  <c r="G223" i="2"/>
  <c r="G217" i="2"/>
  <c r="G205" i="2"/>
  <c r="G199" i="2"/>
  <c r="G298" i="2"/>
  <c r="G269" i="2"/>
  <c r="G257" i="2"/>
  <c r="G245" i="2"/>
  <c r="G222" i="2"/>
  <c r="G204" i="2"/>
  <c r="G297" i="2"/>
  <c r="G256" i="2"/>
  <c r="G221" i="2"/>
  <c r="G308" i="2"/>
  <c r="G285" i="2"/>
  <c r="G250" i="2"/>
  <c r="G215" i="2"/>
  <c r="G238" i="2"/>
  <c r="G304" i="2"/>
  <c r="G268" i="2"/>
  <c r="G244" i="2"/>
  <c r="G203" i="2"/>
  <c r="G262" i="2"/>
  <c r="G197" i="2"/>
  <c r="C202" i="2"/>
  <c r="F200" i="2" s="1"/>
  <c r="C41" i="3" s="1"/>
  <c r="B204" i="2"/>
  <c r="B214" i="2"/>
  <c r="D215" i="2"/>
  <c r="B217" i="2"/>
  <c r="D221" i="2"/>
  <c r="D237" i="2"/>
  <c r="D243" i="2"/>
  <c r="C245" i="2"/>
  <c r="B249" i="2"/>
  <c r="B252" i="2"/>
  <c r="D257" i="2"/>
  <c r="B296" i="2"/>
  <c r="C297" i="2"/>
  <c r="D256" i="2"/>
  <c r="B261" i="2"/>
  <c r="C262" i="2"/>
  <c r="D263" i="2"/>
  <c r="B267" i="2"/>
  <c r="B284" i="2"/>
  <c r="C285" i="2"/>
  <c r="D286" i="2"/>
  <c r="D301" i="2"/>
  <c r="B303" i="2"/>
  <c r="B307" i="2"/>
  <c r="D203" i="2"/>
  <c r="C263" i="2"/>
  <c r="D202" i="2"/>
  <c r="C204" i="2"/>
  <c r="C214" i="2"/>
  <c r="F212" i="2" s="1"/>
  <c r="C39" i="3" s="1"/>
  <c r="C39" i="12" s="1"/>
  <c r="B216" i="2"/>
  <c r="C220" i="2"/>
  <c r="F218" i="2" s="1"/>
  <c r="C40" i="3" s="1"/>
  <c r="C222" i="2"/>
  <c r="C239" i="2"/>
  <c r="C244" i="2"/>
  <c r="D245" i="2"/>
  <c r="B251" i="2"/>
  <c r="D255" i="2"/>
  <c r="C296" i="2"/>
  <c r="F294" i="2" s="1"/>
  <c r="C49" i="3" s="1"/>
  <c r="C261" i="2"/>
  <c r="D262" i="2"/>
  <c r="C267" i="2"/>
  <c r="F265" i="2" s="1"/>
  <c r="C46" i="3" s="1"/>
  <c r="D268" i="2"/>
  <c r="C284" i="2"/>
  <c r="F282" i="2" s="1"/>
  <c r="C48" i="3" s="1"/>
  <c r="D285" i="2"/>
  <c r="B302" i="2"/>
  <c r="C303" i="2"/>
  <c r="D304" i="2"/>
  <c r="C307" i="2"/>
  <c r="F305" i="2" s="1"/>
  <c r="C51" i="3" s="1"/>
  <c r="H307" i="2"/>
  <c r="H303" i="2"/>
  <c r="H296" i="2"/>
  <c r="H284" i="2"/>
  <c r="H267" i="2"/>
  <c r="H261" i="2"/>
  <c r="H255" i="2"/>
  <c r="H249" i="2"/>
  <c r="H243" i="2"/>
  <c r="H237" i="2"/>
  <c r="H220" i="2"/>
  <c r="H214" i="2"/>
  <c r="H202" i="2"/>
  <c r="H196" i="2"/>
  <c r="H298" i="2"/>
  <c r="H263" i="2"/>
  <c r="H251" i="2"/>
  <c r="H239" i="2"/>
  <c r="H222" i="2"/>
  <c r="H204" i="2"/>
  <c r="H310" i="2"/>
  <c r="H302" i="2"/>
  <c r="H287" i="2"/>
  <c r="H270" i="2"/>
  <c r="H264" i="2"/>
  <c r="H258" i="2"/>
  <c r="H252" i="2"/>
  <c r="H246" i="2"/>
  <c r="H240" i="2"/>
  <c r="H223" i="2"/>
  <c r="H217" i="2"/>
  <c r="H205" i="2"/>
  <c r="H199" i="2"/>
  <c r="H309" i="2"/>
  <c r="H301" i="2"/>
  <c r="H286" i="2"/>
  <c r="H269" i="2"/>
  <c r="H257" i="2"/>
  <c r="H245" i="2"/>
  <c r="H216" i="2"/>
  <c r="H198" i="2"/>
  <c r="H304" i="2"/>
  <c r="H268" i="2"/>
  <c r="H244" i="2"/>
  <c r="H203" i="2"/>
  <c r="H262" i="2"/>
  <c r="H238" i="2"/>
  <c r="H197" i="2"/>
  <c r="H297" i="2"/>
  <c r="H256" i="2"/>
  <c r="H221" i="2"/>
  <c r="H308" i="2"/>
  <c r="H285" i="2"/>
  <c r="H250" i="2"/>
  <c r="H215" i="2"/>
  <c r="B205" i="2"/>
  <c r="C221" i="2"/>
  <c r="C257" i="2"/>
  <c r="B268" i="2"/>
  <c r="B308" i="2"/>
  <c r="C196" i="2"/>
  <c r="F194" i="2" s="1"/>
  <c r="C36" i="3" s="1"/>
  <c r="C36" i="12" s="1"/>
  <c r="C203" i="2"/>
  <c r="D214" i="2"/>
  <c r="C216" i="2"/>
  <c r="D220" i="2"/>
  <c r="D239" i="2"/>
  <c r="C251" i="2"/>
  <c r="D296" i="2"/>
  <c r="D261" i="2"/>
  <c r="D267" i="2"/>
  <c r="D284" i="2"/>
  <c r="C302" i="2"/>
  <c r="D307" i="2"/>
  <c r="B244" i="2"/>
  <c r="B246" i="2"/>
  <c r="B237" i="2"/>
  <c r="B239" i="2"/>
  <c r="B238" i="2"/>
  <c r="B222" i="2"/>
  <c r="B221" i="2"/>
  <c r="B220" i="2"/>
  <c r="B203" i="2"/>
  <c r="B199" i="2"/>
  <c r="C192" i="2"/>
  <c r="B196" i="2"/>
  <c r="B198" i="2"/>
  <c r="C189" i="2"/>
  <c r="F187" i="2" s="1"/>
  <c r="C35" i="3" s="1"/>
  <c r="C35" i="12" s="1"/>
  <c r="C198" i="2"/>
  <c r="C193" i="2"/>
  <c r="C197" i="2"/>
  <c r="C190" i="2"/>
  <c r="B190" i="2"/>
  <c r="B189" i="2"/>
  <c r="B193" i="2"/>
  <c r="C97" i="2"/>
  <c r="B13" i="2"/>
  <c r="B125" i="2"/>
  <c r="B114" i="2"/>
  <c r="B62" i="2"/>
  <c r="B142" i="2"/>
  <c r="B149" i="2"/>
  <c r="B66" i="2"/>
  <c r="B119" i="2"/>
  <c r="C132" i="2"/>
  <c r="B183" i="2"/>
  <c r="B129" i="2"/>
  <c r="C93" i="2"/>
  <c r="C121" i="2"/>
  <c r="C136" i="2"/>
  <c r="C185" i="2"/>
  <c r="D146" i="2"/>
  <c r="B14" i="2"/>
  <c r="C62" i="2"/>
  <c r="D63" i="2"/>
  <c r="C66" i="2"/>
  <c r="D93" i="2"/>
  <c r="B96" i="2"/>
  <c r="D97" i="2"/>
  <c r="B112" i="2"/>
  <c r="C114" i="2"/>
  <c r="B118" i="2"/>
  <c r="C119" i="2"/>
  <c r="B122" i="2"/>
  <c r="C125" i="2"/>
  <c r="D126" i="2"/>
  <c r="C129" i="2"/>
  <c r="D132" i="2"/>
  <c r="B135" i="2"/>
  <c r="D136" i="2"/>
  <c r="B143" i="2"/>
  <c r="B147" i="2"/>
  <c r="C149" i="2"/>
  <c r="B182" i="2"/>
  <c r="C183" i="2"/>
  <c r="B186" i="2"/>
  <c r="D94" i="2"/>
  <c r="D111" i="2"/>
  <c r="D115" i="2"/>
  <c r="D133" i="2"/>
  <c r="D150" i="2"/>
  <c r="C142" i="2"/>
  <c r="B16" i="2"/>
  <c r="D62" i="2"/>
  <c r="B65" i="2"/>
  <c r="D66" i="2"/>
  <c r="B94" i="2"/>
  <c r="C96" i="2"/>
  <c r="B111" i="2"/>
  <c r="C118" i="2"/>
  <c r="D119" i="2"/>
  <c r="C122" i="2"/>
  <c r="D125" i="2"/>
  <c r="B128" i="2"/>
  <c r="D129" i="2"/>
  <c r="B133" i="2"/>
  <c r="C135" i="2"/>
  <c r="B139" i="2"/>
  <c r="B146" i="2"/>
  <c r="C147" i="2"/>
  <c r="C182" i="2"/>
  <c r="F180" i="2" s="1"/>
  <c r="C34" i="3" s="1"/>
  <c r="C34" i="12" s="1"/>
  <c r="D183" i="2"/>
  <c r="C186" i="2"/>
  <c r="C63" i="2"/>
  <c r="C126" i="2"/>
  <c r="C140" i="2"/>
  <c r="B93" i="2"/>
  <c r="C111" i="2"/>
  <c r="D112" i="2"/>
  <c r="C115" i="2"/>
  <c r="D118" i="2"/>
  <c r="B132" i="2"/>
  <c r="C146" i="2"/>
  <c r="F144" i="2" s="1"/>
  <c r="C29" i="3" s="1"/>
  <c r="C29" i="12" s="1"/>
  <c r="C17" i="2"/>
  <c r="C139" i="2"/>
  <c r="F137" i="2" s="1"/>
  <c r="C28" i="3" s="1"/>
  <c r="C28" i="12" s="1"/>
  <c r="C143" i="2"/>
  <c r="D139" i="2"/>
  <c r="D140" i="2"/>
  <c r="C14" i="2"/>
  <c r="C16" i="2"/>
  <c r="C13" i="2"/>
  <c r="F11" i="2" s="1"/>
  <c r="C7" i="3" s="1"/>
  <c r="C7" i="12" s="1"/>
  <c r="D13" i="2"/>
  <c r="D14" i="2"/>
  <c r="G43" i="3" l="1"/>
  <c r="M43" i="3" s="1"/>
  <c r="F259" i="2"/>
  <c r="C45" i="3" s="1"/>
  <c r="G45" i="3" s="1"/>
  <c r="M45" i="3" s="1"/>
  <c r="G60" i="3"/>
  <c r="M60" i="3" s="1"/>
  <c r="G57" i="3"/>
  <c r="M57" i="3" s="1"/>
  <c r="G49" i="3"/>
  <c r="M49" i="3" s="1"/>
  <c r="G44" i="3"/>
  <c r="M44" i="3" s="1"/>
  <c r="G51" i="3"/>
  <c r="M51" i="3" s="1"/>
  <c r="G39" i="3"/>
  <c r="M39" i="3" s="1"/>
  <c r="G46" i="3"/>
  <c r="M46" i="3" s="1"/>
  <c r="G40" i="3"/>
  <c r="M40" i="3" s="1"/>
  <c r="G48" i="3"/>
  <c r="M48" i="3" s="1"/>
  <c r="G36" i="3"/>
  <c r="M36" i="3" s="1"/>
  <c r="G50" i="3"/>
  <c r="M50" i="3" s="1"/>
  <c r="C346" i="2"/>
  <c r="C347" i="2" s="1"/>
  <c r="G17" i="3"/>
  <c r="M17" i="3" s="1"/>
  <c r="F35" i="3"/>
  <c r="F34" i="3"/>
  <c r="E28" i="12"/>
  <c r="G28" i="3"/>
  <c r="M28" i="3" s="1"/>
  <c r="E29" i="12"/>
  <c r="G29" i="3"/>
  <c r="M29" i="3" s="1"/>
  <c r="G18" i="3"/>
  <c r="M18" i="3" s="1"/>
  <c r="C9" i="12"/>
  <c r="G9" i="3"/>
  <c r="M9" i="3" s="1"/>
  <c r="C20" i="12"/>
  <c r="G20" i="3"/>
  <c r="M20" i="3" s="1"/>
  <c r="C19" i="12"/>
  <c r="G19" i="3"/>
  <c r="M19" i="3" s="1"/>
  <c r="E7" i="12"/>
  <c r="G7" i="3"/>
  <c r="M7" i="3" s="1"/>
  <c r="F355" i="2"/>
  <c r="C58" i="3" s="1"/>
  <c r="G58" i="3" s="1"/>
  <c r="M58" i="3" s="1"/>
  <c r="C359" i="2"/>
  <c r="C345" i="2"/>
  <c r="F341" i="2"/>
  <c r="C56" i="3" s="1"/>
  <c r="C210" i="2"/>
  <c r="C211" i="2" s="1"/>
  <c r="F206" i="2"/>
  <c r="F123" i="2"/>
  <c r="C26" i="3" s="1"/>
  <c r="C26" i="12" s="1"/>
  <c r="F130" i="2"/>
  <c r="C27" i="3" s="1"/>
  <c r="C27" i="12" s="1"/>
  <c r="F109" i="2"/>
  <c r="C24" i="3" s="1"/>
  <c r="C24" i="12" s="1"/>
  <c r="F91" i="2"/>
  <c r="C21" i="3" s="1"/>
  <c r="C21" i="12" s="1"/>
  <c r="F116" i="2"/>
  <c r="C25" i="3" s="1"/>
  <c r="C25" i="12" s="1"/>
  <c r="F60" i="2"/>
  <c r="C14" i="3" s="1"/>
  <c r="I123" i="2"/>
  <c r="F26" i="3" s="1"/>
  <c r="I91" i="2"/>
  <c r="F21" i="3" s="1"/>
  <c r="I109" i="2"/>
  <c r="F24" i="3" s="1"/>
  <c r="I130" i="2"/>
  <c r="F27" i="3" s="1"/>
  <c r="I116" i="2"/>
  <c r="F25" i="3" s="1"/>
  <c r="C40" i="12" l="1"/>
  <c r="G56" i="3"/>
  <c r="M56" i="3" s="1"/>
  <c r="C37" i="3"/>
  <c r="C38" i="3"/>
  <c r="E34" i="12"/>
  <c r="G34" i="3"/>
  <c r="M34" i="3" s="1"/>
  <c r="E35" i="12"/>
  <c r="G35" i="3"/>
  <c r="M35" i="3" s="1"/>
  <c r="C14" i="12"/>
  <c r="G14" i="3"/>
  <c r="M14" i="3" s="1"/>
  <c r="E21" i="12"/>
  <c r="G21" i="3"/>
  <c r="M21" i="3" s="1"/>
  <c r="E27" i="12"/>
  <c r="G27" i="3"/>
  <c r="M27" i="3" s="1"/>
  <c r="E25" i="12"/>
  <c r="G25" i="3"/>
  <c r="M25" i="3" s="1"/>
  <c r="E26" i="12"/>
  <c r="G26" i="3"/>
  <c r="M26" i="3" s="1"/>
  <c r="E24" i="12"/>
  <c r="G24" i="3"/>
  <c r="M24" i="3" s="1"/>
  <c r="C38" i="12" l="1"/>
  <c r="G38" i="3"/>
  <c r="M38" i="3" s="1"/>
  <c r="C37" i="12"/>
  <c r="G37" i="3"/>
  <c r="M37" i="3" s="1"/>
  <c r="M67" i="3" l="1"/>
</calcChain>
</file>

<file path=xl/sharedStrings.xml><?xml version="1.0" encoding="utf-8"?>
<sst xmlns="http://schemas.openxmlformats.org/spreadsheetml/2006/main" count="728" uniqueCount="169">
  <si>
    <t>kitchen spec</t>
  </si>
  <si>
    <t>floor unit hight</t>
  </si>
  <si>
    <t>wall unit hight</t>
  </si>
  <si>
    <t xml:space="preserve">tall unit hight </t>
  </si>
  <si>
    <t>floor</t>
  </si>
  <si>
    <t>floor depth</t>
  </si>
  <si>
    <t>wall depth</t>
  </si>
  <si>
    <t>tall depth</t>
  </si>
  <si>
    <t>long edge</t>
  </si>
  <si>
    <t>short edge</t>
  </si>
  <si>
    <t>greater than 600</t>
  </si>
  <si>
    <t xml:space="preserve">floor </t>
  </si>
  <si>
    <t>smaler than 600</t>
  </si>
  <si>
    <t>order</t>
  </si>
  <si>
    <t>board material</t>
  </si>
  <si>
    <t>board colour</t>
  </si>
  <si>
    <t>edge colour</t>
  </si>
  <si>
    <t>300 or les</t>
  </si>
  <si>
    <t>special</t>
  </si>
  <si>
    <t>wall units high</t>
  </si>
  <si>
    <t>wall units std</t>
  </si>
  <si>
    <t>description</t>
  </si>
  <si>
    <t>floor unit height</t>
  </si>
  <si>
    <t>wall unit height</t>
  </si>
  <si>
    <t xml:space="preserve">tall unit height </t>
  </si>
  <si>
    <t xml:space="preserve">edge material </t>
  </si>
  <si>
    <t>calculates as you adjust tall wall and floor unit</t>
  </si>
  <si>
    <t>tall grocery</t>
  </si>
  <si>
    <t xml:space="preserve">tall </t>
  </si>
  <si>
    <t>tall broom</t>
  </si>
  <si>
    <t>elo</t>
  </si>
  <si>
    <t>fixed shelf</t>
  </si>
  <si>
    <t>top and bottom</t>
  </si>
  <si>
    <t>back</t>
  </si>
  <si>
    <t>sides</t>
  </si>
  <si>
    <t>sHelves</t>
  </si>
  <si>
    <t>grocery</t>
  </si>
  <si>
    <t>std wall</t>
  </si>
  <si>
    <t>High wall</t>
  </si>
  <si>
    <t>broom</t>
  </si>
  <si>
    <t>elo micro</t>
  </si>
  <si>
    <t>crn</t>
  </si>
  <si>
    <t>back 1</t>
  </si>
  <si>
    <t>back 2</t>
  </si>
  <si>
    <t>base</t>
  </si>
  <si>
    <t>cleat</t>
  </si>
  <si>
    <t>colour edge 1</t>
  </si>
  <si>
    <t>edge colour 1</t>
  </si>
  <si>
    <t>edge colour 2</t>
  </si>
  <si>
    <t>4 draw st</t>
  </si>
  <si>
    <t>3 draw st</t>
  </si>
  <si>
    <t>draw inner fr back</t>
  </si>
  <si>
    <t>draw base</t>
  </si>
  <si>
    <t>draw sides</t>
  </si>
  <si>
    <t>smaller than 600</t>
  </si>
  <si>
    <t>shelf</t>
  </si>
  <si>
    <t>do not change</t>
  </si>
  <si>
    <t>shelves</t>
  </si>
  <si>
    <t>Door Board List</t>
    <phoneticPr fontId="0" type="noConversion"/>
  </si>
  <si>
    <t>Client Name :</t>
    <phoneticPr fontId="0" type="noConversion"/>
  </si>
  <si>
    <t>Date :</t>
    <phoneticPr fontId="0" type="noConversion"/>
  </si>
  <si>
    <t xml:space="preserve">Job Reference : </t>
  </si>
  <si>
    <t>Delivery Address:</t>
    <phoneticPr fontId="0" type="noConversion"/>
  </si>
  <si>
    <t>Index</t>
    <phoneticPr fontId="0" type="noConversion"/>
  </si>
  <si>
    <t>Name</t>
    <phoneticPr fontId="0" type="noConversion"/>
  </si>
  <si>
    <t>Height</t>
    <phoneticPr fontId="0" type="noConversion"/>
  </si>
  <si>
    <t>Thickness</t>
    <phoneticPr fontId="0" type="noConversion"/>
  </si>
  <si>
    <t>Width</t>
    <phoneticPr fontId="0" type="noConversion"/>
  </si>
  <si>
    <t>Quantity</t>
  </si>
  <si>
    <t>Area</t>
    <phoneticPr fontId="0" type="noConversion"/>
  </si>
  <si>
    <t>Unit</t>
    <phoneticPr fontId="0" type="noConversion"/>
  </si>
  <si>
    <t xml:space="preserve">Door Color </t>
    <phoneticPr fontId="0" type="noConversion"/>
  </si>
  <si>
    <t>Door Edge</t>
    <phoneticPr fontId="0" type="noConversion"/>
  </si>
  <si>
    <t>UnitPrice</t>
    <phoneticPr fontId="0" type="noConversion"/>
  </si>
  <si>
    <t>Total</t>
    <phoneticPr fontId="0" type="noConversion"/>
  </si>
  <si>
    <t>m2</t>
  </si>
  <si>
    <t>ear</t>
  </si>
  <si>
    <t>1L</t>
  </si>
  <si>
    <t>1L 1S</t>
  </si>
  <si>
    <t>Total:</t>
    <phoneticPr fontId="0" type="noConversion"/>
  </si>
  <si>
    <t>door colour</t>
  </si>
  <si>
    <t>door edge</t>
  </si>
  <si>
    <t>doors</t>
  </si>
  <si>
    <t>gola</t>
  </si>
  <si>
    <t>no</t>
  </si>
  <si>
    <t>uco</t>
  </si>
  <si>
    <t>special depth</t>
  </si>
  <si>
    <t>special micro</t>
  </si>
  <si>
    <t>bin</t>
  </si>
  <si>
    <t>depth hight</t>
  </si>
  <si>
    <t>crn spec</t>
  </si>
  <si>
    <t>width</t>
  </si>
  <si>
    <t>door</t>
  </si>
  <si>
    <t>ceiling hight</t>
  </si>
  <si>
    <t>space</t>
  </si>
  <si>
    <t>caping</t>
  </si>
  <si>
    <t>capping height</t>
  </si>
  <si>
    <t>over lap</t>
  </si>
  <si>
    <t xml:space="preserve">top cleat 66mm </t>
  </si>
  <si>
    <t>shelf hieght</t>
  </si>
  <si>
    <t>shelf space</t>
  </si>
  <si>
    <t>pannel hieght</t>
  </si>
  <si>
    <t>shelf height</t>
  </si>
  <si>
    <t>paneel hiegth</t>
  </si>
  <si>
    <t xml:space="preserve">cutting bic </t>
  </si>
  <si>
    <t>hanging size</t>
  </si>
  <si>
    <t>shelf size</t>
  </si>
  <si>
    <t>depth</t>
  </si>
  <si>
    <t>white</t>
  </si>
  <si>
    <t>draw front</t>
  </si>
  <si>
    <t>left shelves</t>
  </si>
  <si>
    <t>right shelves</t>
  </si>
  <si>
    <t>client name</t>
  </si>
  <si>
    <t>Project name</t>
  </si>
  <si>
    <t>2 draw pot st</t>
  </si>
  <si>
    <t>draws under mount</t>
  </si>
  <si>
    <t>DTC</t>
  </si>
  <si>
    <t>subtract</t>
  </si>
  <si>
    <t>runners side</t>
  </si>
  <si>
    <t>draw bottom</t>
  </si>
  <si>
    <t>cupboard</t>
  </si>
  <si>
    <t>cupbaord</t>
  </si>
  <si>
    <t>runners summit</t>
  </si>
  <si>
    <t>botom</t>
  </si>
  <si>
    <t>or</t>
  </si>
  <si>
    <t>hight</t>
  </si>
  <si>
    <t xml:space="preserve">door </t>
  </si>
  <si>
    <t>pot holes</t>
  </si>
  <si>
    <t>hinges straight</t>
  </si>
  <si>
    <t>hinges crn</t>
  </si>
  <si>
    <t>hinges reach in</t>
  </si>
  <si>
    <t>runner</t>
  </si>
  <si>
    <t>runner length</t>
  </si>
  <si>
    <t xml:space="preserve">bic </t>
  </si>
  <si>
    <t>bic</t>
  </si>
  <si>
    <t>qty shelves</t>
  </si>
  <si>
    <t>cleats</t>
  </si>
  <si>
    <t>1 door</t>
  </si>
  <si>
    <t>tbc</t>
  </si>
  <si>
    <t>door high</t>
  </si>
  <si>
    <t>door wall std</t>
  </si>
  <si>
    <t>2 door</t>
  </si>
  <si>
    <t>door tall</t>
  </si>
  <si>
    <t>door bic</t>
  </si>
  <si>
    <t>flap</t>
  </si>
  <si>
    <t>Door Board List</t>
    <phoneticPr fontId="1" type="noConversion"/>
  </si>
  <si>
    <t>Client Name :</t>
    <phoneticPr fontId="1" type="noConversion"/>
  </si>
  <si>
    <t>Date :</t>
    <phoneticPr fontId="1" type="noConversion"/>
  </si>
  <si>
    <t>Date Required :</t>
  </si>
  <si>
    <t>Phone Number :</t>
  </si>
  <si>
    <t>Cell:</t>
    <phoneticPr fontId="1" type="noConversion"/>
  </si>
  <si>
    <t>Delivery Address:</t>
    <phoneticPr fontId="1" type="noConversion"/>
  </si>
  <si>
    <t>Index</t>
    <phoneticPr fontId="1" type="noConversion"/>
  </si>
  <si>
    <t>Name</t>
    <phoneticPr fontId="1" type="noConversion"/>
  </si>
  <si>
    <t>Height</t>
    <phoneticPr fontId="1" type="noConversion"/>
  </si>
  <si>
    <t>Thickness</t>
    <phoneticPr fontId="1" type="noConversion"/>
  </si>
  <si>
    <t>Width</t>
    <phoneticPr fontId="1" type="noConversion"/>
  </si>
  <si>
    <t>Area</t>
    <phoneticPr fontId="1" type="noConversion"/>
  </si>
  <si>
    <t>Unit</t>
    <phoneticPr fontId="1" type="noConversion"/>
  </si>
  <si>
    <t>Door Series</t>
    <phoneticPr fontId="1" type="noConversion"/>
  </si>
  <si>
    <t xml:space="preserve">Door Color </t>
    <phoneticPr fontId="1" type="noConversion"/>
  </si>
  <si>
    <t>Door Shape</t>
    <phoneticPr fontId="1" type="noConversion"/>
  </si>
  <si>
    <t>Door Edge</t>
    <phoneticPr fontId="1" type="noConversion"/>
  </si>
  <si>
    <t>UnitPrice</t>
    <phoneticPr fontId="1" type="noConversion"/>
  </si>
  <si>
    <t>Total</t>
    <phoneticPr fontId="1" type="noConversion"/>
  </si>
  <si>
    <t>32mm edge</t>
  </si>
  <si>
    <t>Total:</t>
    <phoneticPr fontId="1" type="noConversion"/>
  </si>
  <si>
    <t>Panel colour</t>
  </si>
  <si>
    <t>Adnaan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</si>
</sst>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8"/>
      <name val="Times New Roman"/>
      <family val="1"/>
    </font>
    <font>
      <b/>
      <sz val="18"/>
      <name val="宋体"/>
      <charset val="134"/>
    </font>
    <font>
      <sz val="12"/>
      <name val="宋体"/>
      <charset val="134"/>
    </font>
    <font>
      <b/>
      <sz val="12"/>
      <name val="Times New Roman"/>
      <family val="1"/>
    </font>
    <font>
      <b/>
      <sz val="12"/>
      <name val="宋体"/>
      <charset val="134"/>
    </font>
    <font>
      <b/>
      <u/>
      <sz val="11"/>
      <color theme="1"/>
      <name val="Calibri"/>
      <family val="2"/>
      <scheme val="minor"/>
    </font>
    <font>
      <sz val="12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9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9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6" xfId="0" applyFill="1" applyBorder="1"/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0" xfId="0" applyFill="1" applyBorder="1"/>
    <xf numFmtId="0" fontId="0" fillId="8" borderId="6" xfId="0" applyFill="1" applyBorder="1"/>
    <xf numFmtId="0" fontId="0" fillId="8" borderId="8" xfId="0" applyFill="1" applyBorder="1"/>
    <xf numFmtId="0" fontId="0" fillId="8" borderId="9" xfId="0" applyFill="1" applyBorder="1"/>
    <xf numFmtId="0" fontId="0" fillId="0" borderId="1" xfId="0" applyBorder="1" applyAlignment="1">
      <alignment horizontal="center"/>
    </xf>
    <xf numFmtId="0" fontId="0" fillId="3" borderId="0" xfId="0" applyFill="1" applyBorder="1"/>
    <xf numFmtId="0" fontId="0" fillId="5" borderId="0" xfId="0" applyFill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2" borderId="14" xfId="0" applyFill="1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6" borderId="1" xfId="0" applyFill="1" applyBorder="1"/>
    <xf numFmtId="0" fontId="0" fillId="11" borderId="0" xfId="0" applyFill="1"/>
    <xf numFmtId="0" fontId="0" fillId="11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0" borderId="13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20" xfId="0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2" borderId="23" xfId="0" applyFill="1" applyBorder="1" applyAlignment="1">
      <alignment horizontal="left"/>
    </xf>
    <xf numFmtId="0" fontId="0" fillId="0" borderId="24" xfId="0" applyBorder="1"/>
    <xf numFmtId="0" fontId="0" fillId="11" borderId="0" xfId="0" applyFill="1" applyBorder="1"/>
    <xf numFmtId="0" fontId="0" fillId="0" borderId="25" xfId="0" applyBorder="1"/>
    <xf numFmtId="0" fontId="0" fillId="0" borderId="26" xfId="0" applyBorder="1" applyAlignment="1">
      <alignment horizontal="left"/>
    </xf>
    <xf numFmtId="0" fontId="0" fillId="9" borderId="27" xfId="0" applyFill="1" applyBorder="1"/>
    <xf numFmtId="0" fontId="0" fillId="9" borderId="28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27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5" borderId="31" xfId="0" applyFill="1" applyBorder="1"/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27" xfId="0" applyFill="1" applyBorder="1"/>
    <xf numFmtId="0" fontId="0" fillId="0" borderId="23" xfId="0" applyBorder="1"/>
    <xf numFmtId="0" fontId="0" fillId="9" borderId="28" xfId="0" applyFill="1" applyBorder="1"/>
    <xf numFmtId="0" fontId="0" fillId="0" borderId="14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6" borderId="27" xfId="0" applyFill="1" applyBorder="1"/>
    <xf numFmtId="0" fontId="0" fillId="6" borderId="31" xfId="0" applyFill="1" applyBorder="1"/>
    <xf numFmtId="0" fontId="0" fillId="6" borderId="31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10" borderId="31" xfId="0" applyFill="1" applyBorder="1"/>
    <xf numFmtId="0" fontId="0" fillId="10" borderId="31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0" fillId="10" borderId="27" xfId="0" applyFill="1" applyBorder="1"/>
    <xf numFmtId="0" fontId="0" fillId="8" borderId="31" xfId="0" applyFill="1" applyBorder="1"/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27" xfId="0" applyFill="1" applyBorder="1"/>
    <xf numFmtId="0" fontId="0" fillId="9" borderId="27" xfId="0" applyFill="1" applyBorder="1" applyAlignment="1">
      <alignment horizontal="center"/>
    </xf>
    <xf numFmtId="0" fontId="0" fillId="8" borderId="35" xfId="0" applyFill="1" applyBorder="1"/>
    <xf numFmtId="0" fontId="0" fillId="8" borderId="35" xfId="0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4" fontId="4" fillId="0" borderId="0" xfId="0" applyNumberFormat="1" applyFont="1" applyBorder="1" applyAlignment="1">
      <alignment vertical="center"/>
    </xf>
    <xf numFmtId="0" fontId="5" fillId="0" borderId="37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8" xfId="0" applyFill="1" applyBorder="1"/>
    <xf numFmtId="0" fontId="0" fillId="9" borderId="0" xfId="0" applyFill="1"/>
    <xf numFmtId="0" fontId="0" fillId="6" borderId="0" xfId="0" applyFill="1"/>
    <xf numFmtId="0" fontId="0" fillId="5" borderId="35" xfId="0" applyFill="1" applyBorder="1"/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0" xfId="0" applyBorder="1"/>
    <xf numFmtId="0" fontId="0" fillId="3" borderId="1" xfId="0" applyFill="1" applyBorder="1"/>
    <xf numFmtId="0" fontId="0" fillId="12" borderId="0" xfId="0" applyFill="1"/>
    <xf numFmtId="0" fontId="0" fillId="13" borderId="0" xfId="0" applyFill="1"/>
    <xf numFmtId="0" fontId="7" fillId="0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0" borderId="41" xfId="0" applyBorder="1"/>
    <xf numFmtId="0" fontId="0" fillId="13" borderId="13" xfId="0" applyFill="1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15" borderId="1" xfId="0" applyFill="1" applyBorder="1"/>
    <xf numFmtId="0" fontId="0" fillId="16" borderId="0" xfId="0" applyFill="1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17" borderId="1" xfId="0" applyFill="1" applyBorder="1"/>
    <xf numFmtId="0" fontId="0" fillId="0" borderId="1" xfId="0" applyBorder="1" applyAlignment="1">
      <alignment horizontal="center"/>
    </xf>
    <xf numFmtId="0" fontId="0" fillId="10" borderId="35" xfId="0" applyFill="1" applyBorder="1"/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8" borderId="0" xfId="0" applyFill="1"/>
    <xf numFmtId="0" fontId="0" fillId="0" borderId="1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7" xfId="0" applyBorder="1"/>
    <xf numFmtId="0" fontId="0" fillId="2" borderId="48" xfId="0" applyFill="1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9" borderId="34" xfId="0" applyFill="1" applyBorder="1"/>
    <xf numFmtId="0" fontId="0" fillId="0" borderId="31" xfId="0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50" xfId="0" applyBorder="1"/>
    <xf numFmtId="0" fontId="0" fillId="0" borderId="51" xfId="0" applyBorder="1" applyAlignment="1">
      <alignment horizontal="center"/>
    </xf>
    <xf numFmtId="0" fontId="0" fillId="0" borderId="52" xfId="0" applyBorder="1"/>
    <xf numFmtId="0" fontId="0" fillId="0" borderId="53" xfId="0" applyBorder="1"/>
    <xf numFmtId="0" fontId="0" fillId="0" borderId="2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19" borderId="0" xfId="0" applyFill="1" applyAlignment="1">
      <alignment horizont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30" xfId="0" applyBorder="1"/>
    <xf numFmtId="0" fontId="0" fillId="0" borderId="57" xfId="0" applyBorder="1"/>
    <xf numFmtId="0" fontId="0" fillId="0" borderId="48" xfId="0" applyBorder="1"/>
    <xf numFmtId="0" fontId="0" fillId="0" borderId="49" xfId="0" applyBorder="1"/>
    <xf numFmtId="0" fontId="0" fillId="0" borderId="58" xfId="0" applyBorder="1"/>
    <xf numFmtId="0" fontId="0" fillId="0" borderId="36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10" xfId="0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5" xfId="0" applyBorder="1"/>
    <xf numFmtId="0" fontId="0" fillId="0" borderId="43" xfId="0" applyFill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0" xfId="0" applyBorder="1" applyAlignment="1"/>
    <xf numFmtId="0" fontId="0" fillId="0" borderId="13" xfId="0" applyBorder="1" applyAlignment="1"/>
    <xf numFmtId="0" fontId="0" fillId="0" borderId="1" xfId="0" applyBorder="1" applyAlignment="1"/>
    <xf numFmtId="0" fontId="0" fillId="0" borderId="21" xfId="0" applyBorder="1" applyAlignment="1"/>
    <xf numFmtId="0" fontId="0" fillId="0" borderId="51" xfId="0" applyBorder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33" xfId="0" applyBorder="1" applyAlignment="1"/>
    <xf numFmtId="0" fontId="0" fillId="0" borderId="12" xfId="0" applyBorder="1" applyAlignment="1"/>
    <xf numFmtId="0" fontId="0" fillId="0" borderId="11" xfId="0" applyBorder="1" applyAlignment="1"/>
    <xf numFmtId="0" fontId="0" fillId="0" borderId="1" xfId="0" applyBorder="1" applyAlignment="1">
      <alignment horizontal="center"/>
    </xf>
    <xf numFmtId="0" fontId="0" fillId="6" borderId="35" xfId="0" applyFill="1" applyBorder="1"/>
    <xf numFmtId="0" fontId="0" fillId="6" borderId="35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0" fillId="0" borderId="62" xfId="0" applyBorder="1"/>
    <xf numFmtId="0" fontId="0" fillId="0" borderId="1" xfId="0" applyBorder="1" applyAlignment="1">
      <alignment horizontal="center"/>
    </xf>
    <xf numFmtId="0" fontId="4" fillId="20" borderId="1" xfId="0" applyFont="1" applyFill="1" applyBorder="1" applyAlignment="1">
      <alignment horizontal="center" vertical="center"/>
    </xf>
    <xf numFmtId="0" fontId="0" fillId="21" borderId="2" xfId="0" applyFill="1" applyBorder="1"/>
    <xf numFmtId="0" fontId="0" fillId="21" borderId="46" xfId="0" applyFill="1" applyBorder="1"/>
    <xf numFmtId="0" fontId="0" fillId="21" borderId="46" xfId="0" applyFill="1" applyBorder="1" applyAlignment="1">
      <alignment horizontal="center"/>
    </xf>
    <xf numFmtId="0" fontId="0" fillId="21" borderId="57" xfId="0" applyFill="1" applyBorder="1" applyAlignment="1">
      <alignment horizontal="center"/>
    </xf>
    <xf numFmtId="0" fontId="0" fillId="21" borderId="63" xfId="0" applyFill="1" applyBorder="1" applyAlignment="1"/>
    <xf numFmtId="0" fontId="0" fillId="21" borderId="54" xfId="0" applyFill="1" applyBorder="1" applyAlignment="1"/>
    <xf numFmtId="0" fontId="0" fillId="21" borderId="42" xfId="0" applyFill="1" applyBorder="1" applyAlignment="1"/>
    <xf numFmtId="0" fontId="0" fillId="21" borderId="5" xfId="0" applyFill="1" applyBorder="1"/>
    <xf numFmtId="0" fontId="0" fillId="21" borderId="40" xfId="0" applyFill="1" applyBorder="1"/>
    <xf numFmtId="0" fontId="0" fillId="21" borderId="40" xfId="0" applyFill="1" applyBorder="1" applyAlignment="1">
      <alignment horizontal="center"/>
    </xf>
    <xf numFmtId="0" fontId="0" fillId="21" borderId="49" xfId="0" applyFill="1" applyBorder="1" applyAlignment="1">
      <alignment horizontal="center"/>
    </xf>
    <xf numFmtId="0" fontId="0" fillId="21" borderId="5" xfId="0" applyFill="1" applyBorder="1" applyAlignment="1"/>
    <xf numFmtId="0" fontId="0" fillId="21" borderId="0" xfId="0" applyFill="1" applyBorder="1" applyAlignment="1"/>
    <xf numFmtId="0" fontId="0" fillId="21" borderId="44" xfId="0" applyFill="1" applyBorder="1" applyAlignment="1"/>
    <xf numFmtId="0" fontId="0" fillId="0" borderId="1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7" borderId="2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3" borderId="27" xfId="0" applyFill="1" applyBorder="1"/>
    <xf numFmtId="0" fontId="0" fillId="0" borderId="0" xfId="0" applyFill="1" applyBorder="1"/>
    <xf numFmtId="49" fontId="0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14" borderId="44" xfId="0" applyFill="1" applyBorder="1" applyAlignment="1">
      <alignment horizontal="center" textRotation="180"/>
    </xf>
    <xf numFmtId="0" fontId="0" fillId="14" borderId="0" xfId="0" applyFill="1" applyAlignment="1">
      <alignment horizont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Z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drawing!#REF!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90368"/>
        <c:axId val="65798912"/>
      </c:barChart>
      <c:catAx>
        <c:axId val="50490368"/>
        <c:scaling>
          <c:orientation val="minMax"/>
        </c:scaling>
        <c:delete val="0"/>
        <c:axPos val="b"/>
        <c:majorTickMark val="out"/>
        <c:minorTickMark val="none"/>
        <c:tickLblPos val="nextTo"/>
        <c:crossAx val="65798912"/>
        <c:crosses val="autoZero"/>
        <c:auto val="1"/>
        <c:lblAlgn val="ctr"/>
        <c:lblOffset val="100"/>
        <c:noMultiLvlLbl val="0"/>
      </c:catAx>
      <c:valAx>
        <c:axId val="6579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490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0872" cy="608418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activeCell="H27" sqref="H27"/>
    </sheetView>
  </sheetViews>
  <sheetFormatPr defaultRowHeight="15"/>
  <cols>
    <col min="1" max="1" width="14.42578125" style="1" bestFit="1" customWidth="1"/>
    <col min="3" max="3" width="12.85546875" customWidth="1"/>
    <col min="5" max="5" width="12.85546875" bestFit="1" customWidth="1"/>
  </cols>
  <sheetData>
    <row r="1" spans="1:8">
      <c r="B1" t="s">
        <v>13</v>
      </c>
      <c r="C1" s="151" t="s">
        <v>168</v>
      </c>
    </row>
    <row r="2" spans="1:8">
      <c r="C2" s="151" t="s">
        <v>133</v>
      </c>
    </row>
    <row r="3" spans="1:8">
      <c r="A3" s="1" t="s">
        <v>0</v>
      </c>
    </row>
    <row r="4" spans="1:8">
      <c r="E4" s="2" t="s">
        <v>15</v>
      </c>
      <c r="F4" s="273" t="s">
        <v>108</v>
      </c>
      <c r="G4" s="273"/>
    </row>
    <row r="5" spans="1:8">
      <c r="C5" s="175" t="s">
        <v>83</v>
      </c>
      <c r="E5" s="2" t="s">
        <v>46</v>
      </c>
      <c r="F5" s="273" t="s">
        <v>138</v>
      </c>
      <c r="G5" s="273"/>
    </row>
    <row r="6" spans="1:8">
      <c r="A6" s="1" t="s">
        <v>1</v>
      </c>
      <c r="B6" s="48">
        <v>720</v>
      </c>
      <c r="C6" s="175" t="s">
        <v>84</v>
      </c>
      <c r="F6" s="274"/>
      <c r="G6" s="275"/>
    </row>
    <row r="7" spans="1:8">
      <c r="A7" s="1" t="s">
        <v>5</v>
      </c>
      <c r="B7" s="48">
        <v>560</v>
      </c>
    </row>
    <row r="8" spans="1:8">
      <c r="A8" s="1" t="s">
        <v>2</v>
      </c>
      <c r="B8" s="122">
        <v>1080</v>
      </c>
    </row>
    <row r="9" spans="1:8">
      <c r="A9" s="1" t="s">
        <v>2</v>
      </c>
      <c r="B9" s="48">
        <v>720</v>
      </c>
    </row>
    <row r="10" spans="1:8">
      <c r="A10" s="1" t="s">
        <v>6</v>
      </c>
      <c r="B10" s="48">
        <v>300</v>
      </c>
    </row>
    <row r="11" spans="1:8">
      <c r="A11" s="1" t="s">
        <v>3</v>
      </c>
      <c r="B11" s="48">
        <v>2296</v>
      </c>
      <c r="C11" s="121"/>
      <c r="D11" s="121" t="s">
        <v>26</v>
      </c>
      <c r="E11" s="121"/>
      <c r="F11" s="121"/>
      <c r="G11" s="121"/>
      <c r="H11" s="121"/>
    </row>
    <row r="12" spans="1:8">
      <c r="A12" s="1" t="s">
        <v>7</v>
      </c>
      <c r="B12" s="48">
        <v>580</v>
      </c>
    </row>
    <row r="13" spans="1:8" ht="15.75" thickBot="1">
      <c r="E13" t="s">
        <v>16</v>
      </c>
    </row>
    <row r="14" spans="1:8">
      <c r="A14" s="235" t="s">
        <v>4</v>
      </c>
      <c r="B14" s="35" t="s">
        <v>10</v>
      </c>
      <c r="C14" s="35"/>
      <c r="D14" s="35"/>
      <c r="E14" s="36"/>
    </row>
    <row r="15" spans="1:8">
      <c r="A15" s="236"/>
      <c r="B15" s="37">
        <v>541</v>
      </c>
      <c r="C15" s="37" t="s">
        <v>82</v>
      </c>
      <c r="D15" s="37">
        <v>1</v>
      </c>
      <c r="E15" s="38">
        <v>1</v>
      </c>
    </row>
    <row r="16" spans="1:8">
      <c r="A16" s="236"/>
      <c r="B16" s="37">
        <v>600</v>
      </c>
      <c r="C16" s="37" t="s">
        <v>85</v>
      </c>
      <c r="D16" s="37"/>
      <c r="E16" s="38">
        <v>1</v>
      </c>
    </row>
    <row r="17" spans="1:6">
      <c r="A17" s="236"/>
      <c r="B17" s="37">
        <v>600</v>
      </c>
      <c r="C17" s="37" t="s">
        <v>82</v>
      </c>
      <c r="D17" s="37">
        <v>2</v>
      </c>
      <c r="E17" s="38">
        <v>1</v>
      </c>
    </row>
    <row r="18" spans="1:6">
      <c r="A18" s="236"/>
      <c r="B18" s="37">
        <v>600</v>
      </c>
      <c r="C18" s="37" t="s">
        <v>49</v>
      </c>
      <c r="D18" s="47">
        <v>500</v>
      </c>
      <c r="E18" s="38">
        <v>1</v>
      </c>
    </row>
    <row r="19" spans="1:6">
      <c r="A19" s="236"/>
      <c r="B19" s="37">
        <v>700</v>
      </c>
      <c r="C19" s="37" t="s">
        <v>50</v>
      </c>
      <c r="D19" s="47">
        <v>500</v>
      </c>
      <c r="E19" s="38">
        <v>1</v>
      </c>
    </row>
    <row r="20" spans="1:6">
      <c r="A20" s="236"/>
      <c r="B20" s="37">
        <v>600</v>
      </c>
      <c r="C20" s="37" t="s">
        <v>114</v>
      </c>
      <c r="D20" s="47">
        <v>500</v>
      </c>
      <c r="E20" s="38">
        <v>1</v>
      </c>
    </row>
    <row r="21" spans="1:6">
      <c r="A21" s="236"/>
      <c r="B21" s="37">
        <v>750</v>
      </c>
      <c r="C21" s="37"/>
      <c r="D21" s="37"/>
      <c r="E21" s="38">
        <v>1</v>
      </c>
    </row>
    <row r="22" spans="1:6">
      <c r="A22" s="236"/>
      <c r="B22" s="37">
        <v>750</v>
      </c>
      <c r="C22" s="37" t="s">
        <v>50</v>
      </c>
      <c r="D22" s="47">
        <v>500</v>
      </c>
      <c r="E22" s="38">
        <v>1</v>
      </c>
    </row>
    <row r="23" spans="1:6">
      <c r="A23" s="236"/>
      <c r="B23" s="37">
        <v>900</v>
      </c>
      <c r="C23" s="37" t="s">
        <v>41</v>
      </c>
      <c r="D23" s="37">
        <v>900</v>
      </c>
      <c r="E23" s="38">
        <v>1</v>
      </c>
      <c r="F23" s="269"/>
    </row>
    <row r="24" spans="1:6">
      <c r="A24" s="236"/>
      <c r="B24" s="37">
        <v>1000</v>
      </c>
      <c r="C24" s="37" t="s">
        <v>90</v>
      </c>
      <c r="D24" s="37">
        <v>900</v>
      </c>
      <c r="E24" s="38">
        <v>1</v>
      </c>
      <c r="F24" s="37">
        <v>750</v>
      </c>
    </row>
    <row r="25" spans="1:6">
      <c r="A25" s="236"/>
      <c r="B25" s="37">
        <v>900</v>
      </c>
      <c r="C25" s="37"/>
      <c r="D25" s="37"/>
      <c r="E25" s="38">
        <v>1</v>
      </c>
    </row>
    <row r="26" spans="1:6">
      <c r="A26" s="236"/>
      <c r="B26" s="37">
        <v>900</v>
      </c>
      <c r="C26" s="37" t="s">
        <v>50</v>
      </c>
      <c r="D26" s="47">
        <v>500</v>
      </c>
      <c r="E26" s="38">
        <v>1</v>
      </c>
    </row>
    <row r="27" spans="1:6">
      <c r="A27" s="236"/>
      <c r="B27" s="37">
        <v>1000</v>
      </c>
      <c r="C27" s="37"/>
      <c r="D27" s="37"/>
      <c r="E27" s="38">
        <v>1</v>
      </c>
    </row>
    <row r="28" spans="1:6">
      <c r="A28" s="236"/>
      <c r="B28" s="37">
        <v>1100</v>
      </c>
      <c r="C28" s="37"/>
      <c r="D28" s="37"/>
      <c r="E28" s="38">
        <v>1</v>
      </c>
    </row>
    <row r="29" spans="1:6">
      <c r="A29" s="236"/>
      <c r="B29" s="37">
        <v>1200</v>
      </c>
      <c r="C29" s="37"/>
      <c r="D29" s="37"/>
      <c r="E29" s="38">
        <v>1</v>
      </c>
    </row>
    <row r="30" spans="1:6">
      <c r="A30" s="236"/>
      <c r="B30" s="37">
        <v>1200</v>
      </c>
      <c r="C30" s="37"/>
      <c r="D30" s="37"/>
      <c r="E30" s="38">
        <v>1</v>
      </c>
    </row>
    <row r="31" spans="1:6">
      <c r="A31" s="236" t="s">
        <v>11</v>
      </c>
      <c r="B31" s="37" t="s">
        <v>54</v>
      </c>
      <c r="C31" s="37"/>
      <c r="D31" s="37"/>
      <c r="E31" s="38"/>
    </row>
    <row r="32" spans="1:6">
      <c r="A32" s="236"/>
      <c r="B32" s="37">
        <v>300</v>
      </c>
      <c r="C32" s="37"/>
      <c r="D32" s="37"/>
      <c r="E32" s="38">
        <v>1</v>
      </c>
    </row>
    <row r="33" spans="1:6">
      <c r="A33" s="236"/>
      <c r="B33" s="37">
        <v>450</v>
      </c>
      <c r="C33" s="37"/>
      <c r="D33" s="37"/>
      <c r="E33" s="38">
        <v>1</v>
      </c>
    </row>
    <row r="34" spans="1:6">
      <c r="A34" s="236"/>
      <c r="B34" s="37">
        <v>450</v>
      </c>
      <c r="C34" s="37" t="s">
        <v>49</v>
      </c>
      <c r="D34" s="47">
        <v>500</v>
      </c>
      <c r="E34" s="38">
        <v>1</v>
      </c>
    </row>
    <row r="35" spans="1:6">
      <c r="A35" s="236"/>
      <c r="B35" s="37">
        <v>450</v>
      </c>
      <c r="C35" s="37" t="s">
        <v>50</v>
      </c>
      <c r="D35" s="47">
        <v>500</v>
      </c>
      <c r="E35" s="38">
        <v>1</v>
      </c>
    </row>
    <row r="36" spans="1:6">
      <c r="A36" s="236"/>
      <c r="B36" s="37">
        <v>450</v>
      </c>
      <c r="C36" s="37" t="s">
        <v>88</v>
      </c>
      <c r="D36" s="47">
        <v>500</v>
      </c>
      <c r="E36" s="38">
        <v>1</v>
      </c>
    </row>
    <row r="37" spans="1:6">
      <c r="A37" s="236"/>
      <c r="B37" s="37">
        <v>200</v>
      </c>
      <c r="C37" s="37"/>
      <c r="D37" s="37"/>
      <c r="E37" s="38">
        <v>1</v>
      </c>
    </row>
    <row r="38" spans="1:6" ht="15.75" thickBot="1">
      <c r="A38" s="236"/>
      <c r="B38" s="39">
        <v>150</v>
      </c>
      <c r="C38" s="39"/>
      <c r="D38" s="39" t="s">
        <v>18</v>
      </c>
      <c r="E38" s="38">
        <v>1</v>
      </c>
    </row>
    <row r="39" spans="1:6">
      <c r="A39" s="237" t="s">
        <v>19</v>
      </c>
      <c r="B39" s="29"/>
      <c r="C39" s="29"/>
      <c r="D39" s="29"/>
      <c r="E39" s="30"/>
    </row>
    <row r="40" spans="1:6">
      <c r="A40" s="238"/>
      <c r="B40" s="31">
        <v>900</v>
      </c>
      <c r="C40" s="31"/>
      <c r="D40" s="31"/>
      <c r="E40" s="32"/>
    </row>
    <row r="41" spans="1:6">
      <c r="A41" s="238"/>
      <c r="B41" s="31">
        <v>745</v>
      </c>
      <c r="C41" s="31"/>
      <c r="D41" s="31"/>
      <c r="E41" s="32"/>
    </row>
    <row r="42" spans="1:6">
      <c r="A42" s="238"/>
      <c r="B42" s="31">
        <v>600</v>
      </c>
      <c r="C42" s="31"/>
      <c r="D42" s="31" t="s">
        <v>41</v>
      </c>
      <c r="E42" s="32">
        <v>600</v>
      </c>
      <c r="F42" t="s">
        <v>91</v>
      </c>
    </row>
    <row r="43" spans="1:6">
      <c r="A43" s="238"/>
      <c r="B43" s="31">
        <v>484</v>
      </c>
      <c r="C43" s="31"/>
      <c r="D43" s="31"/>
      <c r="E43" s="32"/>
    </row>
    <row r="44" spans="1:6">
      <c r="A44" s="238"/>
      <c r="B44" s="31">
        <v>464</v>
      </c>
      <c r="C44" s="31"/>
      <c r="D44" s="31"/>
      <c r="E44" s="32"/>
    </row>
    <row r="45" spans="1:6">
      <c r="A45" s="238"/>
      <c r="B45" s="31">
        <v>500</v>
      </c>
      <c r="C45" s="31">
        <v>450</v>
      </c>
      <c r="D45" s="31" t="s">
        <v>86</v>
      </c>
      <c r="E45" s="32"/>
    </row>
    <row r="46" spans="1:6">
      <c r="A46" s="238"/>
      <c r="B46" s="31">
        <v>600</v>
      </c>
      <c r="C46" s="31">
        <v>300</v>
      </c>
      <c r="D46" s="31">
        <v>360</v>
      </c>
      <c r="E46" s="31" t="s">
        <v>87</v>
      </c>
    </row>
    <row r="47" spans="1:6">
      <c r="A47" s="238" t="s">
        <v>17</v>
      </c>
      <c r="B47" s="31"/>
      <c r="C47" s="31"/>
      <c r="D47" s="31"/>
      <c r="E47" s="32"/>
    </row>
    <row r="48" spans="1:6">
      <c r="A48" s="238"/>
      <c r="B48" s="31">
        <v>300</v>
      </c>
      <c r="C48" s="31"/>
      <c r="D48" s="31"/>
      <c r="E48" s="32"/>
    </row>
    <row r="49" spans="1:5">
      <c r="A49" s="238"/>
      <c r="B49" s="31">
        <v>200</v>
      </c>
      <c r="C49" s="31"/>
      <c r="D49" s="31"/>
      <c r="E49" s="32"/>
    </row>
    <row r="50" spans="1:5" ht="15.75" thickBot="1">
      <c r="A50" s="238"/>
      <c r="B50" s="33">
        <v>100</v>
      </c>
      <c r="C50" s="120">
        <v>450</v>
      </c>
      <c r="D50" s="33" t="s">
        <v>86</v>
      </c>
      <c r="E50" s="34"/>
    </row>
    <row r="51" spans="1:5">
      <c r="A51" s="239" t="s">
        <v>20</v>
      </c>
      <c r="B51" s="23"/>
      <c r="C51" s="23"/>
      <c r="D51" s="23"/>
      <c r="E51" s="24"/>
    </row>
    <row r="52" spans="1:5">
      <c r="A52" s="240"/>
      <c r="B52" s="25">
        <v>900</v>
      </c>
      <c r="C52" s="25"/>
      <c r="D52" s="25"/>
      <c r="E52" s="26"/>
    </row>
    <row r="53" spans="1:5">
      <c r="A53" s="240"/>
      <c r="B53" s="25">
        <v>750</v>
      </c>
      <c r="C53" s="25"/>
      <c r="D53" s="25"/>
      <c r="E53" s="26"/>
    </row>
    <row r="54" spans="1:5">
      <c r="A54" s="240"/>
      <c r="B54" s="25">
        <v>600</v>
      </c>
      <c r="C54" s="25"/>
      <c r="D54" s="69" t="s">
        <v>137</v>
      </c>
      <c r="E54" s="26"/>
    </row>
    <row r="55" spans="1:5">
      <c r="A55" s="240"/>
      <c r="B55" s="25">
        <v>600</v>
      </c>
      <c r="C55" s="25"/>
      <c r="D55" s="69" t="s">
        <v>141</v>
      </c>
      <c r="E55" s="26"/>
    </row>
    <row r="56" spans="1:5">
      <c r="A56" s="240"/>
      <c r="B56" s="25">
        <v>600</v>
      </c>
      <c r="C56" s="25"/>
      <c r="D56" s="25"/>
      <c r="E56" s="26"/>
    </row>
    <row r="57" spans="1:5">
      <c r="A57" s="240"/>
      <c r="B57" s="25">
        <v>900</v>
      </c>
      <c r="C57" s="25">
        <v>300</v>
      </c>
      <c r="D57" s="25">
        <v>360</v>
      </c>
      <c r="E57" s="26" t="s">
        <v>89</v>
      </c>
    </row>
    <row r="58" spans="1:5">
      <c r="A58" s="240"/>
      <c r="B58" s="25">
        <v>450</v>
      </c>
      <c r="C58" s="25"/>
      <c r="D58" s="25"/>
      <c r="E58" s="26"/>
    </row>
    <row r="59" spans="1:5">
      <c r="A59" s="240" t="s">
        <v>17</v>
      </c>
      <c r="B59" s="25"/>
      <c r="C59" s="25"/>
      <c r="D59" s="25"/>
      <c r="E59" s="26"/>
    </row>
    <row r="60" spans="1:5">
      <c r="A60" s="240"/>
      <c r="B60" s="25">
        <v>290</v>
      </c>
      <c r="C60" s="25"/>
      <c r="D60" s="25"/>
      <c r="E60" s="26"/>
    </row>
    <row r="61" spans="1:5">
      <c r="A61" s="240"/>
      <c r="B61" s="25">
        <v>500</v>
      </c>
      <c r="C61" s="25">
        <v>300</v>
      </c>
      <c r="D61" s="25">
        <v>360</v>
      </c>
      <c r="E61" s="26" t="s">
        <v>89</v>
      </c>
    </row>
    <row r="62" spans="1:5">
      <c r="A62" s="240"/>
      <c r="B62" s="25">
        <v>200</v>
      </c>
      <c r="C62" s="25"/>
      <c r="D62" s="25"/>
      <c r="E62" s="26"/>
    </row>
    <row r="63" spans="1:5">
      <c r="A63" s="240"/>
      <c r="B63" s="25">
        <v>150</v>
      </c>
      <c r="C63" s="25"/>
      <c r="D63" s="25" t="s">
        <v>18</v>
      </c>
      <c r="E63" s="26"/>
    </row>
    <row r="64" spans="1:5" ht="15.75" thickBot="1">
      <c r="A64" s="241"/>
      <c r="B64" s="27"/>
      <c r="C64" s="27"/>
      <c r="D64" s="27"/>
      <c r="E64" s="28"/>
    </row>
    <row r="65" spans="1:5">
      <c r="A65" s="242" t="s">
        <v>27</v>
      </c>
      <c r="B65" s="17"/>
      <c r="C65" s="17"/>
      <c r="D65" s="17"/>
      <c r="E65" s="18"/>
    </row>
    <row r="66" spans="1:5">
      <c r="A66" s="243"/>
      <c r="B66" s="19"/>
      <c r="C66" s="19"/>
      <c r="D66" s="19"/>
      <c r="E66" s="20"/>
    </row>
    <row r="67" spans="1:5">
      <c r="A67" s="243"/>
      <c r="B67" s="19">
        <v>900</v>
      </c>
      <c r="C67" s="19"/>
      <c r="D67" s="19"/>
      <c r="E67" s="20"/>
    </row>
    <row r="68" spans="1:5">
      <c r="A68" s="243"/>
      <c r="B68" s="19">
        <v>920</v>
      </c>
      <c r="C68" s="19">
        <v>920</v>
      </c>
      <c r="D68" s="19" t="s">
        <v>41</v>
      </c>
      <c r="E68" s="20">
        <v>920</v>
      </c>
    </row>
    <row r="69" spans="1:5">
      <c r="A69" s="243"/>
      <c r="B69" s="19">
        <v>750</v>
      </c>
      <c r="C69" s="19"/>
      <c r="D69" s="19"/>
      <c r="E69" s="20"/>
    </row>
    <row r="70" spans="1:5">
      <c r="A70" s="243"/>
      <c r="B70" s="19">
        <v>600</v>
      </c>
      <c r="C70" s="19"/>
      <c r="D70" s="19"/>
      <c r="E70" s="20"/>
    </row>
    <row r="71" spans="1:5">
      <c r="A71" s="243"/>
      <c r="B71" s="19"/>
      <c r="C71" s="19"/>
      <c r="D71" s="19"/>
      <c r="E71" s="20"/>
    </row>
    <row r="72" spans="1:5">
      <c r="A72" s="243" t="s">
        <v>28</v>
      </c>
      <c r="B72" s="19" t="s">
        <v>12</v>
      </c>
      <c r="C72" s="19"/>
      <c r="D72" s="19"/>
      <c r="E72" s="20"/>
    </row>
    <row r="73" spans="1:5">
      <c r="A73" s="243"/>
      <c r="B73" s="19"/>
      <c r="C73" s="19"/>
      <c r="D73" s="19"/>
      <c r="E73" s="20"/>
    </row>
    <row r="74" spans="1:5">
      <c r="A74" s="243"/>
      <c r="B74" s="19">
        <v>450</v>
      </c>
      <c r="C74" s="19"/>
      <c r="D74" s="19"/>
      <c r="E74" s="20"/>
    </row>
    <row r="75" spans="1:5">
      <c r="A75" s="243"/>
      <c r="B75" s="19">
        <v>300</v>
      </c>
      <c r="C75" s="19"/>
      <c r="D75" s="19"/>
      <c r="E75" s="20"/>
    </row>
    <row r="76" spans="1:5">
      <c r="A76" s="243"/>
      <c r="B76" s="19"/>
      <c r="C76" s="19"/>
      <c r="D76" s="19"/>
      <c r="E76" s="20"/>
    </row>
    <row r="77" spans="1:5" ht="15.75" thickBot="1">
      <c r="A77" s="244"/>
      <c r="B77" s="21"/>
      <c r="C77" s="21"/>
      <c r="D77" s="21"/>
      <c r="E77" s="22"/>
    </row>
    <row r="78" spans="1:5">
      <c r="A78" s="245" t="s">
        <v>29</v>
      </c>
      <c r="B78" s="40"/>
      <c r="C78" s="40"/>
      <c r="D78" s="40"/>
      <c r="E78" s="41"/>
    </row>
    <row r="79" spans="1:5">
      <c r="A79" s="246"/>
      <c r="B79" s="42"/>
      <c r="C79" s="42"/>
      <c r="D79" s="42"/>
      <c r="E79" s="43"/>
    </row>
    <row r="80" spans="1:5">
      <c r="A80" s="246"/>
      <c r="B80" s="42">
        <v>600</v>
      </c>
      <c r="C80" s="42"/>
      <c r="D80" s="42"/>
      <c r="E80" s="43"/>
    </row>
    <row r="81" spans="1:6">
      <c r="A81" s="246"/>
      <c r="B81" s="42">
        <v>450</v>
      </c>
      <c r="C81" s="42"/>
      <c r="D81" s="42"/>
      <c r="E81" s="43"/>
    </row>
    <row r="82" spans="1:6">
      <c r="A82" s="246"/>
      <c r="B82" s="42">
        <v>300</v>
      </c>
      <c r="C82" s="42"/>
      <c r="D82" s="42"/>
      <c r="E82" s="43"/>
    </row>
    <row r="83" spans="1:6" ht="15.75" thickBot="1">
      <c r="A83" s="247"/>
      <c r="B83" s="44"/>
      <c r="C83" s="44"/>
      <c r="D83" s="44"/>
      <c r="E83" s="45"/>
    </row>
    <row r="84" spans="1:6">
      <c r="A84" s="248" t="s">
        <v>30</v>
      </c>
      <c r="B84" s="10"/>
      <c r="C84" s="10"/>
      <c r="D84" s="10"/>
      <c r="E84" s="11"/>
    </row>
    <row r="85" spans="1:6">
      <c r="A85" s="249"/>
      <c r="B85" s="8"/>
      <c r="C85" s="8"/>
      <c r="D85" s="8"/>
      <c r="E85" s="13"/>
    </row>
    <row r="86" spans="1:6">
      <c r="A86" s="249"/>
      <c r="B86" s="8">
        <v>600</v>
      </c>
      <c r="C86" s="8"/>
      <c r="D86" s="8"/>
      <c r="E86" s="13"/>
    </row>
    <row r="87" spans="1:6">
      <c r="A87" s="249"/>
      <c r="B87" s="8">
        <v>750</v>
      </c>
      <c r="C87" s="8"/>
      <c r="D87" s="8"/>
      <c r="E87" s="13"/>
    </row>
    <row r="88" spans="1:6" ht="15.75" thickBot="1">
      <c r="A88" s="250"/>
      <c r="B88" s="15"/>
      <c r="C88" s="15"/>
      <c r="D88" s="15"/>
      <c r="E88" s="16"/>
    </row>
    <row r="89" spans="1:6">
      <c r="A89" s="248" t="s">
        <v>40</v>
      </c>
      <c r="B89" s="10"/>
      <c r="C89" s="10"/>
      <c r="D89" s="10"/>
      <c r="E89" s="11"/>
    </row>
    <row r="90" spans="1:6">
      <c r="A90" s="249"/>
      <c r="B90" s="8"/>
      <c r="C90" s="8"/>
      <c r="D90" s="8"/>
      <c r="E90" s="13"/>
    </row>
    <row r="91" spans="1:6">
      <c r="A91" s="249"/>
      <c r="B91" s="8"/>
      <c r="C91" s="8"/>
      <c r="D91" s="8"/>
      <c r="E91" s="13"/>
    </row>
    <row r="92" spans="1:6">
      <c r="A92" s="249"/>
      <c r="B92" s="8"/>
      <c r="C92" s="8"/>
      <c r="D92" s="8"/>
      <c r="E92" s="13"/>
    </row>
    <row r="93" spans="1:6">
      <c r="A93" s="249"/>
      <c r="B93" s="8"/>
      <c r="C93" s="8"/>
      <c r="D93" s="8"/>
      <c r="E93" s="13"/>
    </row>
    <row r="94" spans="1:6" ht="15.75" thickBot="1">
      <c r="A94" s="250"/>
      <c r="B94" s="15"/>
      <c r="C94" s="15"/>
      <c r="D94" s="15"/>
      <c r="E94" s="16"/>
    </row>
    <row r="95" spans="1:6">
      <c r="A95" s="1" t="s">
        <v>133</v>
      </c>
      <c r="C95" t="s">
        <v>125</v>
      </c>
      <c r="D95">
        <v>2500</v>
      </c>
      <c r="E95" t="s">
        <v>107</v>
      </c>
      <c r="F95">
        <v>560</v>
      </c>
    </row>
    <row r="96" spans="1:6">
      <c r="B96" t="s">
        <v>34</v>
      </c>
      <c r="C96" t="s">
        <v>108</v>
      </c>
    </row>
    <row r="97" spans="1:4">
      <c r="A97" s="1">
        <v>0</v>
      </c>
      <c r="B97">
        <v>750</v>
      </c>
      <c r="C97" t="s">
        <v>135</v>
      </c>
      <c r="D97">
        <v>3</v>
      </c>
    </row>
    <row r="98" spans="1:4">
      <c r="A98" s="1">
        <v>0</v>
      </c>
      <c r="B98">
        <v>900</v>
      </c>
      <c r="C98" t="s">
        <v>135</v>
      </c>
      <c r="D98">
        <v>3</v>
      </c>
    </row>
    <row r="99" spans="1:4">
      <c r="B99">
        <v>1200</v>
      </c>
      <c r="C99" t="s">
        <v>135</v>
      </c>
      <c r="D99">
        <v>3</v>
      </c>
    </row>
    <row r="100" spans="1:4">
      <c r="B100">
        <v>500</v>
      </c>
      <c r="C100" t="s">
        <v>135</v>
      </c>
      <c r="D100">
        <v>6</v>
      </c>
    </row>
    <row r="101" spans="1:4">
      <c r="B101">
        <v>450</v>
      </c>
      <c r="C101" t="s">
        <v>135</v>
      </c>
      <c r="D101">
        <v>6</v>
      </c>
    </row>
  </sheetData>
  <mergeCells count="3">
    <mergeCell ref="F4:G4"/>
    <mergeCell ref="F5:G5"/>
    <mergeCell ref="F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M391"/>
  <sheetViews>
    <sheetView workbookViewId="0">
      <pane ySplit="10" topLeftCell="A11" activePane="bottomLeft" state="frozen"/>
      <selection pane="bottomLeft" activeCell="D395" sqref="D395"/>
    </sheetView>
  </sheetViews>
  <sheetFormatPr defaultRowHeight="15"/>
  <cols>
    <col min="1" max="1" width="15.5703125" customWidth="1"/>
    <col min="2" max="2" width="14.42578125" bestFit="1" customWidth="1"/>
    <col min="3" max="4" width="9.140625" style="2"/>
    <col min="5" max="5" width="15.42578125" style="2" customWidth="1"/>
    <col min="6" max="6" width="13.42578125" style="205" bestFit="1" customWidth="1"/>
    <col min="7" max="7" width="27" style="2" customWidth="1"/>
    <col min="8" max="8" width="21.7109375" customWidth="1"/>
    <col min="9" max="9" width="2.85546875" customWidth="1"/>
    <col min="10" max="10" width="22.28515625" customWidth="1"/>
  </cols>
  <sheetData>
    <row r="1" spans="1:10">
      <c r="A1" t="s">
        <v>112</v>
      </c>
      <c r="B1" t="str">
        <f>+'input sheet'!C1</f>
        <v>Adnaan</v>
      </c>
      <c r="C1" s="175">
        <f>IF('input sheet'!C6="Yes",1,0)</f>
        <v>0</v>
      </c>
      <c r="E1" s="2" t="s">
        <v>15</v>
      </c>
      <c r="F1" s="278" t="str">
        <f>+'input sheet'!F4</f>
        <v>white</v>
      </c>
      <c r="G1" s="275"/>
    </row>
    <row r="2" spans="1:10">
      <c r="A2" t="s">
        <v>113</v>
      </c>
      <c r="B2" t="str">
        <f>+'input sheet'!C2</f>
        <v xml:space="preserve">bic </v>
      </c>
      <c r="C2" s="175" t="s">
        <v>83</v>
      </c>
      <c r="E2" s="2" t="s">
        <v>47</v>
      </c>
      <c r="F2" s="278" t="str">
        <f>+'input sheet'!F5:G5</f>
        <v>tbc</v>
      </c>
      <c r="G2" s="275"/>
    </row>
    <row r="3" spans="1:10">
      <c r="B3" s="55" t="s">
        <v>22</v>
      </c>
      <c r="C3" s="56">
        <f>+'input sheet'!B6</f>
        <v>720</v>
      </c>
      <c r="E3" s="2" t="s">
        <v>48</v>
      </c>
      <c r="F3" s="278">
        <f>+'input sheet'!F6</f>
        <v>0</v>
      </c>
      <c r="G3" s="275"/>
    </row>
    <row r="4" spans="1:10" hidden="1">
      <c r="B4" s="55" t="s">
        <v>5</v>
      </c>
      <c r="C4" s="56">
        <f>'input sheet'!B7</f>
        <v>560</v>
      </c>
      <c r="F4" s="273"/>
      <c r="G4" s="273"/>
    </row>
    <row r="5" spans="1:10" hidden="1">
      <c r="B5" s="55" t="s">
        <v>23</v>
      </c>
      <c r="C5" s="56">
        <f>'input sheet'!B8</f>
        <v>1080</v>
      </c>
      <c r="F5" s="2"/>
    </row>
    <row r="6" spans="1:10" hidden="1">
      <c r="B6" s="55" t="s">
        <v>23</v>
      </c>
      <c r="C6" s="56">
        <f>+'input sheet'!B9</f>
        <v>720</v>
      </c>
      <c r="F6" s="2"/>
    </row>
    <row r="7" spans="1:10" hidden="1">
      <c r="B7" s="55" t="s">
        <v>6</v>
      </c>
      <c r="C7" s="56">
        <f>'input sheet'!B10</f>
        <v>300</v>
      </c>
      <c r="E7" s="2" t="s">
        <v>56</v>
      </c>
      <c r="F7" s="2"/>
    </row>
    <row r="8" spans="1:10" hidden="1">
      <c r="B8" s="55" t="s">
        <v>24</v>
      </c>
      <c r="C8" s="56">
        <f>'input sheet'!B11</f>
        <v>2296</v>
      </c>
      <c r="F8" s="2"/>
    </row>
    <row r="9" spans="1:10" ht="20.25" hidden="1" customHeight="1">
      <c r="B9" s="55" t="s">
        <v>7</v>
      </c>
      <c r="C9" s="56">
        <f>'input sheet'!B12</f>
        <v>580</v>
      </c>
      <c r="F9" s="2"/>
    </row>
    <row r="10" spans="1:10" ht="20.25" customHeight="1">
      <c r="B10" s="57">
        <v>1</v>
      </c>
      <c r="C10" s="50"/>
      <c r="D10" s="50"/>
      <c r="E10" s="50" t="s">
        <v>8</v>
      </c>
      <c r="F10" s="201" t="s">
        <v>9</v>
      </c>
      <c r="G10" s="50" t="s">
        <v>25</v>
      </c>
      <c r="H10" s="58" t="s">
        <v>14</v>
      </c>
      <c r="I10" s="58"/>
      <c r="J10" s="58" t="s">
        <v>21</v>
      </c>
    </row>
    <row r="11" spans="1:10" ht="20.25" hidden="1" customHeight="1" thickBot="1">
      <c r="A11" s="75">
        <f>+'input sheet'!B15</f>
        <v>541</v>
      </c>
      <c r="B11" s="72">
        <f>+A12</f>
        <v>0</v>
      </c>
      <c r="C11" s="73" t="s">
        <v>4</v>
      </c>
      <c r="D11" s="73" t="str">
        <f>+'input sheet'!C15</f>
        <v>doors</v>
      </c>
      <c r="E11" s="74">
        <f>+'input sheet'!D15</f>
        <v>1</v>
      </c>
      <c r="F11" s="177">
        <f>+(C13-3)-(C$1*35)</f>
        <v>717</v>
      </c>
      <c r="G11" s="174">
        <f>+A11-3</f>
        <v>538</v>
      </c>
      <c r="H11" s="60">
        <f>+B11*1</f>
        <v>0</v>
      </c>
      <c r="I11" s="60"/>
      <c r="J11" s="61"/>
    </row>
    <row r="12" spans="1:10" ht="20.25" hidden="1" customHeight="1">
      <c r="A12" s="71">
        <f>+'input sheet'!A15</f>
        <v>0</v>
      </c>
      <c r="B12" s="67"/>
      <c r="C12" s="53"/>
      <c r="D12" s="53"/>
      <c r="E12" s="53"/>
      <c r="F12" s="7"/>
      <c r="G12" s="7"/>
      <c r="H12" s="5"/>
      <c r="I12" s="191"/>
      <c r="J12" s="62"/>
    </row>
    <row r="13" spans="1:10" hidden="1">
      <c r="B13" s="63">
        <f>+A12*2</f>
        <v>0</v>
      </c>
      <c r="C13" s="7">
        <f>+$C$3</f>
        <v>720</v>
      </c>
      <c r="D13" s="7">
        <f>+$C$4</f>
        <v>560</v>
      </c>
      <c r="E13" s="7">
        <v>1</v>
      </c>
      <c r="F13" s="202"/>
      <c r="G13" s="7" t="str">
        <f t="shared" ref="G13:G17" si="0">+F$2</f>
        <v>tbc</v>
      </c>
      <c r="H13" s="7" t="str">
        <f>+F$1</f>
        <v>white</v>
      </c>
      <c r="I13" s="172"/>
      <c r="J13" s="64" t="s">
        <v>34</v>
      </c>
    </row>
    <row r="14" spans="1:10" hidden="1">
      <c r="B14" s="63">
        <f>+A12*1</f>
        <v>0</v>
      </c>
      <c r="C14" s="7">
        <f>+A11-32</f>
        <v>509</v>
      </c>
      <c r="D14" s="7">
        <f>+$C$4</f>
        <v>560</v>
      </c>
      <c r="E14" s="7">
        <v>1</v>
      </c>
      <c r="F14" s="202"/>
      <c r="G14" s="7" t="str">
        <f t="shared" si="0"/>
        <v>tbc</v>
      </c>
      <c r="H14" s="7" t="str">
        <f t="shared" ref="H14:H17" si="1">+F$1</f>
        <v>white</v>
      </c>
      <c r="I14" s="172"/>
      <c r="J14" s="64" t="s">
        <v>44</v>
      </c>
    </row>
    <row r="15" spans="1:10" hidden="1">
      <c r="B15" s="63">
        <f>+A12*1</f>
        <v>0</v>
      </c>
      <c r="C15" s="7">
        <f>+A11-32</f>
        <v>509</v>
      </c>
      <c r="D15" s="7">
        <f>+C$4-26</f>
        <v>534</v>
      </c>
      <c r="E15" s="7">
        <v>1</v>
      </c>
      <c r="F15" s="202"/>
      <c r="G15" s="7" t="str">
        <f t="shared" si="0"/>
        <v>tbc</v>
      </c>
      <c r="H15" s="7" t="str">
        <f t="shared" ref="H15" si="2">+F$1</f>
        <v>white</v>
      </c>
      <c r="I15" s="172"/>
      <c r="J15" s="64" t="s">
        <v>55</v>
      </c>
    </row>
    <row r="16" spans="1:10" hidden="1">
      <c r="B16" s="63">
        <f>+A12*1</f>
        <v>0</v>
      </c>
      <c r="C16" s="7">
        <f>+A11-32</f>
        <v>509</v>
      </c>
      <c r="D16" s="7">
        <v>125</v>
      </c>
      <c r="E16" s="7">
        <v>1</v>
      </c>
      <c r="F16" s="202"/>
      <c r="G16" s="7" t="str">
        <f t="shared" si="0"/>
        <v>tbc</v>
      </c>
      <c r="H16" s="7" t="str">
        <f t="shared" si="1"/>
        <v>white</v>
      </c>
      <c r="I16" s="172"/>
      <c r="J16" s="64" t="s">
        <v>45</v>
      </c>
    </row>
    <row r="17" spans="1:10" ht="15.75" hidden="1" thickBot="1">
      <c r="B17" s="70">
        <f>+A12*1</f>
        <v>0</v>
      </c>
      <c r="C17" s="50">
        <f>+$C$3-17</f>
        <v>703</v>
      </c>
      <c r="D17" s="50">
        <f>+A11-32</f>
        <v>509</v>
      </c>
      <c r="E17" s="50"/>
      <c r="F17" s="203"/>
      <c r="G17" s="65" t="str">
        <f t="shared" si="0"/>
        <v>tbc</v>
      </c>
      <c r="H17" s="65" t="str">
        <f t="shared" si="1"/>
        <v>white</v>
      </c>
      <c r="I17" s="192"/>
      <c r="J17" s="66" t="s">
        <v>33</v>
      </c>
    </row>
    <row r="18" spans="1:10" ht="20.25" hidden="1" customHeight="1" thickBot="1">
      <c r="A18" s="75">
        <f>+'input sheet'!B16</f>
        <v>600</v>
      </c>
      <c r="B18" s="72">
        <f>+A19</f>
        <v>0</v>
      </c>
      <c r="C18" s="73" t="str">
        <f>+'input sheet'!C16</f>
        <v>uco</v>
      </c>
      <c r="D18" s="73"/>
      <c r="E18" s="74"/>
      <c r="F18" s="177">
        <v>120</v>
      </c>
      <c r="G18" s="85">
        <f>+A18-3</f>
        <v>597</v>
      </c>
      <c r="H18" s="60">
        <f>+B18*1</f>
        <v>0</v>
      </c>
      <c r="I18" s="60"/>
      <c r="J18" s="61"/>
    </row>
    <row r="19" spans="1:10" ht="20.25" hidden="1" customHeight="1">
      <c r="A19" s="71">
        <f>+'input sheet'!A16</f>
        <v>0</v>
      </c>
      <c r="B19" s="67"/>
      <c r="C19" s="53"/>
      <c r="D19" s="53"/>
      <c r="E19" s="53"/>
      <c r="F19" s="46"/>
      <c r="G19" s="46"/>
      <c r="H19" s="5"/>
      <c r="I19" s="191"/>
      <c r="J19" s="62"/>
    </row>
    <row r="20" spans="1:10" hidden="1">
      <c r="B20" s="63">
        <f>+B18*2</f>
        <v>0</v>
      </c>
      <c r="C20" s="46">
        <f>+C3</f>
        <v>720</v>
      </c>
      <c r="D20" s="46">
        <v>100</v>
      </c>
      <c r="E20" s="46">
        <v>1</v>
      </c>
      <c r="F20" s="202"/>
      <c r="G20" s="46" t="str">
        <f t="shared" ref="G20:G23" si="3">+F$2</f>
        <v>tbc</v>
      </c>
      <c r="H20" s="46" t="str">
        <f>+F$1</f>
        <v>white</v>
      </c>
      <c r="I20" s="172"/>
      <c r="J20" s="64" t="s">
        <v>34</v>
      </c>
    </row>
    <row r="21" spans="1:10" hidden="1">
      <c r="B21" s="63">
        <f>+B18</f>
        <v>0</v>
      </c>
      <c r="C21" s="46">
        <f>+A18</f>
        <v>600</v>
      </c>
      <c r="D21" s="46">
        <f>+$C$4</f>
        <v>560</v>
      </c>
      <c r="E21" s="46">
        <v>1</v>
      </c>
      <c r="F21" s="202"/>
      <c r="G21" s="46" t="str">
        <f t="shared" si="3"/>
        <v>tbc</v>
      </c>
      <c r="H21" s="46" t="str">
        <f t="shared" ref="H21:H23" si="4">+F$1</f>
        <v>white</v>
      </c>
      <c r="I21" s="172"/>
      <c r="J21" s="64" t="s">
        <v>44</v>
      </c>
    </row>
    <row r="22" spans="1:10" hidden="1">
      <c r="B22" s="63">
        <f>+B18*1</f>
        <v>0</v>
      </c>
      <c r="C22" s="46">
        <f>+A18-32</f>
        <v>568</v>
      </c>
      <c r="D22" s="46">
        <f>+D20</f>
        <v>100</v>
      </c>
      <c r="E22" s="46">
        <v>1</v>
      </c>
      <c r="F22" s="202"/>
      <c r="G22" s="46" t="str">
        <f t="shared" si="3"/>
        <v>tbc</v>
      </c>
      <c r="H22" s="46" t="str">
        <f t="shared" si="4"/>
        <v>white</v>
      </c>
      <c r="I22" s="172"/>
      <c r="J22" s="64" t="s">
        <v>55</v>
      </c>
    </row>
    <row r="23" spans="1:10" hidden="1">
      <c r="B23" s="63">
        <f>+B18*2</f>
        <v>0</v>
      </c>
      <c r="C23" s="46">
        <f>+A18</f>
        <v>600</v>
      </c>
      <c r="D23" s="46">
        <f>+D22</f>
        <v>100</v>
      </c>
      <c r="E23" s="46">
        <v>1</v>
      </c>
      <c r="F23" s="202"/>
      <c r="G23" s="46" t="str">
        <f t="shared" si="3"/>
        <v>tbc</v>
      </c>
      <c r="H23" s="46" t="str">
        <f t="shared" si="4"/>
        <v>white</v>
      </c>
      <c r="I23" s="172"/>
      <c r="J23" s="64" t="s">
        <v>45</v>
      </c>
    </row>
    <row r="24" spans="1:10" ht="20.25" hidden="1" customHeight="1" thickBot="1">
      <c r="A24" s="75">
        <f>+'input sheet'!B17</f>
        <v>600</v>
      </c>
      <c r="B24" s="72">
        <f>+A25</f>
        <v>0</v>
      </c>
      <c r="C24" s="73" t="s">
        <v>4</v>
      </c>
      <c r="D24" s="73" t="str">
        <f>+'input sheet'!C17</f>
        <v>doors</v>
      </c>
      <c r="E24" s="74">
        <f>+'input sheet'!D17</f>
        <v>2</v>
      </c>
      <c r="F24" s="177">
        <f>+(C26-3)-(C$1*35)</f>
        <v>717</v>
      </c>
      <c r="G24" s="173">
        <f>+A24/2-3</f>
        <v>297</v>
      </c>
      <c r="H24" s="60">
        <f>+B24*2</f>
        <v>0</v>
      </c>
      <c r="I24" s="60"/>
      <c r="J24" s="61"/>
    </row>
    <row r="25" spans="1:10" ht="20.25" hidden="1" customHeight="1">
      <c r="A25" s="71">
        <f>+'input sheet'!A17</f>
        <v>0</v>
      </c>
      <c r="B25" s="67"/>
      <c r="C25" s="53"/>
      <c r="D25" s="53"/>
      <c r="E25" s="53"/>
      <c r="F25" s="7"/>
      <c r="G25" s="7"/>
      <c r="H25" s="5"/>
      <c r="I25" s="191"/>
      <c r="J25" s="62"/>
    </row>
    <row r="26" spans="1:10" hidden="1">
      <c r="B26" s="63">
        <f>+A25*2</f>
        <v>0</v>
      </c>
      <c r="C26" s="7">
        <f>+$C$3</f>
        <v>720</v>
      </c>
      <c r="D26" s="7">
        <f>+$C$4</f>
        <v>560</v>
      </c>
      <c r="E26" s="7">
        <v>1</v>
      </c>
      <c r="F26" s="202"/>
      <c r="G26" s="7" t="str">
        <f t="shared" ref="G26:G30" si="5">+F$2</f>
        <v>tbc</v>
      </c>
      <c r="H26" s="7" t="str">
        <f>+F$1</f>
        <v>white</v>
      </c>
      <c r="I26" s="172"/>
      <c r="J26" s="64" t="s">
        <v>34</v>
      </c>
    </row>
    <row r="27" spans="1:10" hidden="1">
      <c r="B27" s="63">
        <f>+A25*1</f>
        <v>0</v>
      </c>
      <c r="C27" s="7">
        <f>+A24-32</f>
        <v>568</v>
      </c>
      <c r="D27" s="7">
        <f>+$C$4</f>
        <v>560</v>
      </c>
      <c r="E27" s="7">
        <v>1</v>
      </c>
      <c r="F27" s="202"/>
      <c r="G27" s="7" t="str">
        <f t="shared" si="5"/>
        <v>tbc</v>
      </c>
      <c r="H27" s="7" t="str">
        <f t="shared" ref="H27:H30" si="6">+F$1</f>
        <v>white</v>
      </c>
      <c r="I27" s="172"/>
      <c r="J27" s="64" t="s">
        <v>44</v>
      </c>
    </row>
    <row r="28" spans="1:10" hidden="1">
      <c r="B28" s="63">
        <f>+A25*1</f>
        <v>0</v>
      </c>
      <c r="C28" s="7">
        <f>+A24-32</f>
        <v>568</v>
      </c>
      <c r="D28" s="7">
        <f>+C$4-26</f>
        <v>534</v>
      </c>
      <c r="E28" s="7">
        <v>1</v>
      </c>
      <c r="F28" s="202"/>
      <c r="G28" s="7" t="str">
        <f t="shared" si="5"/>
        <v>tbc</v>
      </c>
      <c r="H28" s="7" t="str">
        <f t="shared" si="6"/>
        <v>white</v>
      </c>
      <c r="I28" s="172"/>
      <c r="J28" s="64" t="s">
        <v>55</v>
      </c>
    </row>
    <row r="29" spans="1:10" hidden="1">
      <c r="B29" s="63">
        <f>+A25*1</f>
        <v>0</v>
      </c>
      <c r="C29" s="7">
        <f>+A24-32</f>
        <v>568</v>
      </c>
      <c r="D29" s="7">
        <v>125</v>
      </c>
      <c r="E29" s="7">
        <v>1</v>
      </c>
      <c r="F29" s="202"/>
      <c r="G29" s="7" t="str">
        <f t="shared" si="5"/>
        <v>tbc</v>
      </c>
      <c r="H29" s="7" t="str">
        <f t="shared" si="6"/>
        <v>white</v>
      </c>
      <c r="I29" s="172"/>
      <c r="J29" s="64" t="s">
        <v>45</v>
      </c>
    </row>
    <row r="30" spans="1:10" ht="15.75" hidden="1" thickBot="1">
      <c r="B30" s="70">
        <f>+A25*1</f>
        <v>0</v>
      </c>
      <c r="C30" s="50">
        <f>+$C$3-17</f>
        <v>703</v>
      </c>
      <c r="D30" s="50">
        <f>+A24-32</f>
        <v>568</v>
      </c>
      <c r="E30" s="50"/>
      <c r="F30" s="203"/>
      <c r="G30" s="65" t="str">
        <f t="shared" si="5"/>
        <v>tbc</v>
      </c>
      <c r="H30" s="65" t="str">
        <f t="shared" si="6"/>
        <v>white</v>
      </c>
      <c r="I30" s="192"/>
      <c r="J30" s="66" t="s">
        <v>33</v>
      </c>
    </row>
    <row r="31" spans="1:10" ht="20.25" hidden="1" customHeight="1" thickBot="1">
      <c r="A31" s="75">
        <f>+'input sheet'!B18</f>
        <v>600</v>
      </c>
      <c r="B31" s="72">
        <f>+A32</f>
        <v>0</v>
      </c>
      <c r="C31" s="73" t="s">
        <v>4</v>
      </c>
      <c r="D31" s="73">
        <f>+'input sheet'!D18</f>
        <v>500</v>
      </c>
      <c r="E31" s="74" t="str">
        <f>+'input sheet'!C18</f>
        <v>4 draw st</v>
      </c>
      <c r="F31" s="177">
        <f>+C33/4-3</f>
        <v>177</v>
      </c>
      <c r="G31" s="59">
        <f>+A31-3</f>
        <v>597</v>
      </c>
      <c r="H31" s="60">
        <f>+B31*4</f>
        <v>0</v>
      </c>
      <c r="I31" s="60"/>
      <c r="J31" s="61"/>
    </row>
    <row r="32" spans="1:10" ht="20.25" hidden="1" customHeight="1">
      <c r="A32" s="71">
        <f>+'input sheet'!A18</f>
        <v>0</v>
      </c>
      <c r="B32" s="67"/>
      <c r="C32" s="53"/>
      <c r="D32" s="53"/>
      <c r="E32" s="53"/>
      <c r="F32" s="7"/>
      <c r="G32" s="7"/>
      <c r="H32" s="5"/>
      <c r="I32" s="191"/>
      <c r="J32" s="62"/>
    </row>
    <row r="33" spans="1:10" hidden="1">
      <c r="B33" s="63">
        <f>+A32*2</f>
        <v>0</v>
      </c>
      <c r="C33" s="7">
        <f>+$C$3</f>
        <v>720</v>
      </c>
      <c r="D33" s="7">
        <f>+$C$4</f>
        <v>560</v>
      </c>
      <c r="E33" s="7">
        <v>1</v>
      </c>
      <c r="F33" s="202"/>
      <c r="G33" s="7" t="str">
        <f t="shared" ref="G33:G36" si="7">+F$2</f>
        <v>tbc</v>
      </c>
      <c r="H33" s="7" t="str">
        <f>+F$1</f>
        <v>white</v>
      </c>
      <c r="I33" s="172"/>
      <c r="J33" s="64" t="s">
        <v>34</v>
      </c>
    </row>
    <row r="34" spans="1:10" hidden="1">
      <c r="B34" s="63">
        <f>+A32*1</f>
        <v>0</v>
      </c>
      <c r="C34" s="7">
        <f>+A31-32</f>
        <v>568</v>
      </c>
      <c r="D34" s="7">
        <f>+$C$4</f>
        <v>560</v>
      </c>
      <c r="E34" s="7">
        <v>1</v>
      </c>
      <c r="F34" s="202"/>
      <c r="G34" s="7" t="str">
        <f t="shared" si="7"/>
        <v>tbc</v>
      </c>
      <c r="H34" s="7" t="str">
        <f t="shared" ref="H34:H36" si="8">+F$1</f>
        <v>white</v>
      </c>
      <c r="I34" s="172"/>
      <c r="J34" s="64" t="s">
        <v>44</v>
      </c>
    </row>
    <row r="35" spans="1:10" hidden="1">
      <c r="B35" s="63">
        <f>+A32*1</f>
        <v>0</v>
      </c>
      <c r="C35" s="7">
        <f>+A31-32</f>
        <v>568</v>
      </c>
      <c r="D35" s="7">
        <v>125</v>
      </c>
      <c r="E35" s="7">
        <v>1</v>
      </c>
      <c r="F35" s="202"/>
      <c r="G35" s="7" t="str">
        <f t="shared" si="7"/>
        <v>tbc</v>
      </c>
      <c r="H35" s="7" t="str">
        <f t="shared" si="8"/>
        <v>white</v>
      </c>
      <c r="I35" s="172"/>
      <c r="J35" s="64" t="s">
        <v>45</v>
      </c>
    </row>
    <row r="36" spans="1:10" hidden="1">
      <c r="B36" s="63">
        <f>+A32*1</f>
        <v>0</v>
      </c>
      <c r="C36" s="7">
        <f>+$C$3-17</f>
        <v>703</v>
      </c>
      <c r="D36" s="7">
        <f>+A31-32</f>
        <v>568</v>
      </c>
      <c r="E36" s="7"/>
      <c r="F36" s="202"/>
      <c r="G36" s="7" t="str">
        <f t="shared" si="7"/>
        <v>tbc</v>
      </c>
      <c r="H36" s="7" t="str">
        <f t="shared" si="8"/>
        <v>white</v>
      </c>
      <c r="I36" s="172"/>
      <c r="J36" s="64" t="s">
        <v>33</v>
      </c>
    </row>
    <row r="37" spans="1:10" hidden="1">
      <c r="B37" s="63">
        <f>+A32*8</f>
        <v>0</v>
      </c>
      <c r="C37" s="7">
        <f>+A31-90</f>
        <v>510</v>
      </c>
      <c r="D37" s="7">
        <v>127</v>
      </c>
      <c r="E37" s="7">
        <v>1</v>
      </c>
      <c r="F37" s="202"/>
      <c r="G37" s="7" t="str">
        <f t="shared" ref="G37:G39" si="9">+F$2</f>
        <v>tbc</v>
      </c>
      <c r="H37" s="7" t="str">
        <f t="shared" ref="H37:H39" si="10">+F$1</f>
        <v>white</v>
      </c>
      <c r="I37" s="172"/>
      <c r="J37" s="64" t="s">
        <v>51</v>
      </c>
    </row>
    <row r="38" spans="1:10" hidden="1">
      <c r="B38" s="63">
        <f>+A32*4</f>
        <v>0</v>
      </c>
      <c r="C38" s="7">
        <f>+A31-90</f>
        <v>510</v>
      </c>
      <c r="D38" s="7">
        <f>+D31-32</f>
        <v>468</v>
      </c>
      <c r="E38" s="7"/>
      <c r="F38" s="202"/>
      <c r="G38" s="7" t="str">
        <f t="shared" si="9"/>
        <v>tbc</v>
      </c>
      <c r="H38" s="7" t="str">
        <f t="shared" si="10"/>
        <v>white</v>
      </c>
      <c r="I38" s="172"/>
      <c r="J38" s="64" t="s">
        <v>52</v>
      </c>
    </row>
    <row r="39" spans="1:10" hidden="1">
      <c r="B39" s="70">
        <f>A32*8</f>
        <v>0</v>
      </c>
      <c r="C39" s="50">
        <f>+D31</f>
        <v>500</v>
      </c>
      <c r="D39" s="50">
        <v>127</v>
      </c>
      <c r="E39" s="50">
        <v>1</v>
      </c>
      <c r="F39" s="201"/>
      <c r="G39" s="50" t="str">
        <f t="shared" si="9"/>
        <v>tbc</v>
      </c>
      <c r="H39" s="50" t="str">
        <f t="shared" si="10"/>
        <v>white</v>
      </c>
      <c r="I39" s="193"/>
      <c r="J39" s="155" t="s">
        <v>53</v>
      </c>
    </row>
    <row r="40" spans="1:10" ht="20.25" hidden="1" customHeight="1" thickBot="1">
      <c r="A40" s="75">
        <f>+'input sheet'!B19</f>
        <v>700</v>
      </c>
      <c r="B40" s="160">
        <f>+A41</f>
        <v>0</v>
      </c>
      <c r="C40" s="76" t="s">
        <v>4</v>
      </c>
      <c r="D40" s="76">
        <f>+'input sheet'!D19</f>
        <v>500</v>
      </c>
      <c r="E40" s="76" t="str">
        <f>+'input sheet'!C19</f>
        <v>3 draw st</v>
      </c>
      <c r="F40" s="177">
        <v>177</v>
      </c>
      <c r="G40" s="161">
        <v>356</v>
      </c>
      <c r="H40" s="162">
        <f>+A40-3</f>
        <v>697</v>
      </c>
      <c r="I40" s="194">
        <f>+B40*2</f>
        <v>0</v>
      </c>
      <c r="J40" s="163">
        <f>+B40*1</f>
        <v>0</v>
      </c>
    </row>
    <row r="41" spans="1:10" ht="20.25" hidden="1" customHeight="1" thickBot="1">
      <c r="A41" s="71">
        <f>+'input sheet'!A19</f>
        <v>0</v>
      </c>
      <c r="B41" s="156"/>
      <c r="C41" s="157"/>
      <c r="D41" s="157"/>
      <c r="E41" s="157"/>
      <c r="F41" s="157"/>
      <c r="G41" s="157"/>
      <c r="H41" s="158"/>
      <c r="I41" s="195"/>
      <c r="J41" s="159"/>
    </row>
    <row r="42" spans="1:10" hidden="1">
      <c r="B42" s="164">
        <f>+A41*2</f>
        <v>0</v>
      </c>
      <c r="C42" s="165">
        <f>+$C$3</f>
        <v>720</v>
      </c>
      <c r="D42" s="165">
        <f>+$C$4</f>
        <v>560</v>
      </c>
      <c r="E42" s="165">
        <v>1</v>
      </c>
      <c r="F42" s="204"/>
      <c r="G42" s="165" t="str">
        <f t="shared" ref="G42:G50" si="11">+F$2</f>
        <v>tbc</v>
      </c>
      <c r="H42" s="165" t="str">
        <f>+F$1</f>
        <v>white</v>
      </c>
      <c r="I42" s="196"/>
      <c r="J42" s="166" t="s">
        <v>34</v>
      </c>
    </row>
    <row r="43" spans="1:10" hidden="1">
      <c r="B43" s="63">
        <f>+A41*1</f>
        <v>0</v>
      </c>
      <c r="C43" s="154">
        <f>+A40-32</f>
        <v>668</v>
      </c>
      <c r="D43" s="154">
        <f>+$C$4</f>
        <v>560</v>
      </c>
      <c r="E43" s="154">
        <v>1</v>
      </c>
      <c r="F43" s="202"/>
      <c r="G43" s="154" t="str">
        <f t="shared" si="11"/>
        <v>tbc</v>
      </c>
      <c r="H43" s="154" t="str">
        <f t="shared" ref="H43:H50" si="12">+F$1</f>
        <v>white</v>
      </c>
      <c r="I43" s="172"/>
      <c r="J43" s="64" t="s">
        <v>44</v>
      </c>
    </row>
    <row r="44" spans="1:10" hidden="1">
      <c r="B44" s="63">
        <f>+A41*1</f>
        <v>0</v>
      </c>
      <c r="C44" s="154">
        <f>+A40-32</f>
        <v>668</v>
      </c>
      <c r="D44" s="154">
        <v>125</v>
      </c>
      <c r="E44" s="154">
        <v>1</v>
      </c>
      <c r="F44" s="202"/>
      <c r="G44" s="154" t="str">
        <f t="shared" si="11"/>
        <v>tbc</v>
      </c>
      <c r="H44" s="154" t="str">
        <f t="shared" si="12"/>
        <v>white</v>
      </c>
      <c r="I44" s="172"/>
      <c r="J44" s="64" t="s">
        <v>45</v>
      </c>
    </row>
    <row r="45" spans="1:10" hidden="1">
      <c r="B45" s="63">
        <f>+A41*1</f>
        <v>0</v>
      </c>
      <c r="C45" s="154">
        <f>+$C$3-17</f>
        <v>703</v>
      </c>
      <c r="D45" s="154">
        <f>+A40-32</f>
        <v>668</v>
      </c>
      <c r="E45" s="154"/>
      <c r="F45" s="202"/>
      <c r="G45" s="154" t="str">
        <f t="shared" si="11"/>
        <v>tbc</v>
      </c>
      <c r="H45" s="154" t="str">
        <f t="shared" si="12"/>
        <v>white</v>
      </c>
      <c r="I45" s="172"/>
      <c r="J45" s="64" t="s">
        <v>33</v>
      </c>
    </row>
    <row r="46" spans="1:10" hidden="1">
      <c r="B46" s="63">
        <f>+B40*4</f>
        <v>0</v>
      </c>
      <c r="C46" s="5">
        <f>+A40-90</f>
        <v>610</v>
      </c>
      <c r="D46" s="5">
        <v>127</v>
      </c>
      <c r="E46" s="154">
        <v>1</v>
      </c>
      <c r="F46" s="202"/>
      <c r="G46" s="154" t="str">
        <f t="shared" ref="G46:G49" si="13">+F$2</f>
        <v>tbc</v>
      </c>
      <c r="H46" s="154" t="str">
        <f t="shared" ref="H46:H49" si="14">+F$1</f>
        <v>white</v>
      </c>
      <c r="I46" s="172"/>
      <c r="J46" s="64" t="s">
        <v>51</v>
      </c>
    </row>
    <row r="47" spans="1:10" ht="18" hidden="1" customHeight="1">
      <c r="B47" s="63">
        <f>+B40*2</f>
        <v>0</v>
      </c>
      <c r="C47" s="154">
        <f>+A40-90</f>
        <v>610</v>
      </c>
      <c r="D47" s="154">
        <v>240</v>
      </c>
      <c r="E47" s="154">
        <v>1</v>
      </c>
      <c r="F47" s="202"/>
      <c r="G47" s="154" t="str">
        <f t="shared" si="11"/>
        <v>tbc</v>
      </c>
      <c r="H47" s="154" t="str">
        <f t="shared" si="12"/>
        <v>white</v>
      </c>
      <c r="I47" s="172"/>
      <c r="J47" s="64" t="s">
        <v>51</v>
      </c>
    </row>
    <row r="48" spans="1:10" hidden="1">
      <c r="B48" s="63">
        <f>+B40*3</f>
        <v>0</v>
      </c>
      <c r="C48" s="154">
        <f>+A40-90</f>
        <v>610</v>
      </c>
      <c r="D48" s="154">
        <f>+D40-32</f>
        <v>468</v>
      </c>
      <c r="E48" s="154"/>
      <c r="F48" s="202"/>
      <c r="G48" s="154" t="str">
        <f t="shared" si="13"/>
        <v>tbc</v>
      </c>
      <c r="H48" s="154" t="str">
        <f t="shared" si="14"/>
        <v>white</v>
      </c>
      <c r="I48" s="172"/>
      <c r="J48" s="64" t="s">
        <v>52</v>
      </c>
    </row>
    <row r="49" spans="1:10" hidden="1">
      <c r="B49" s="63">
        <f>+B40*4</f>
        <v>0</v>
      </c>
      <c r="C49" s="5">
        <f>+D40</f>
        <v>500</v>
      </c>
      <c r="D49" s="5">
        <v>127</v>
      </c>
      <c r="E49" s="154">
        <v>1</v>
      </c>
      <c r="F49" s="202"/>
      <c r="G49" s="154" t="str">
        <f t="shared" si="13"/>
        <v>tbc</v>
      </c>
      <c r="H49" s="154" t="str">
        <f t="shared" si="14"/>
        <v>white</v>
      </c>
      <c r="I49" s="172"/>
      <c r="J49" s="64" t="s">
        <v>53</v>
      </c>
    </row>
    <row r="50" spans="1:10" ht="15.75" hidden="1" thickBot="1">
      <c r="B50" s="167">
        <f>+B40*2</f>
        <v>0</v>
      </c>
      <c r="C50" s="168">
        <f>+D40</f>
        <v>500</v>
      </c>
      <c r="D50" s="168">
        <v>240</v>
      </c>
      <c r="E50" s="65">
        <v>1</v>
      </c>
      <c r="F50" s="203"/>
      <c r="G50" s="65" t="str">
        <f t="shared" si="11"/>
        <v>tbc</v>
      </c>
      <c r="H50" s="65" t="str">
        <f t="shared" si="12"/>
        <v>white</v>
      </c>
      <c r="I50" s="192"/>
      <c r="J50" s="66" t="s">
        <v>53</v>
      </c>
    </row>
    <row r="51" spans="1:10" ht="20.25" hidden="1" customHeight="1" thickBot="1">
      <c r="A51" s="75">
        <f>+'input sheet'!B20</f>
        <v>600</v>
      </c>
      <c r="B51" s="160">
        <f>+A52</f>
        <v>0</v>
      </c>
      <c r="C51" s="76" t="s">
        <v>4</v>
      </c>
      <c r="D51" s="76">
        <f>+'input sheet'!D20</f>
        <v>500</v>
      </c>
      <c r="E51" s="76" t="str">
        <f>+'input sheet'!C20</f>
        <v>2 draw pot st</v>
      </c>
      <c r="F51" s="177">
        <f>+C53/2-4</f>
        <v>356</v>
      </c>
      <c r="G51" s="161"/>
      <c r="H51" s="162">
        <f>+A51-3</f>
        <v>597</v>
      </c>
      <c r="I51" s="194">
        <f>+B51*2</f>
        <v>0</v>
      </c>
      <c r="J51" s="163"/>
    </row>
    <row r="52" spans="1:10" ht="20.25" hidden="1" customHeight="1" thickBot="1">
      <c r="A52" s="71">
        <f>+'input sheet'!A20</f>
        <v>0</v>
      </c>
      <c r="B52" s="156"/>
      <c r="C52" s="157"/>
      <c r="D52" s="157"/>
      <c r="E52" s="157"/>
      <c r="F52" s="157"/>
      <c r="G52" s="157"/>
      <c r="H52" s="158"/>
      <c r="I52" s="195"/>
      <c r="J52" s="159"/>
    </row>
    <row r="53" spans="1:10" hidden="1">
      <c r="B53" s="164">
        <f>+A52*2</f>
        <v>0</v>
      </c>
      <c r="C53" s="165">
        <f>+$C$3</f>
        <v>720</v>
      </c>
      <c r="D53" s="165">
        <f t="shared" ref="D53:D54" si="15">+$C$4</f>
        <v>560</v>
      </c>
      <c r="E53" s="165">
        <v>1</v>
      </c>
      <c r="F53" s="204"/>
      <c r="G53" s="165" t="str">
        <f t="shared" ref="G53:G59" si="16">+F$2</f>
        <v>tbc</v>
      </c>
      <c r="H53" s="165" t="str">
        <f>+F$1</f>
        <v>white</v>
      </c>
      <c r="I53" s="196"/>
      <c r="J53" s="166" t="s">
        <v>34</v>
      </c>
    </row>
    <row r="54" spans="1:10" hidden="1">
      <c r="B54" s="63">
        <f>+A52*1</f>
        <v>0</v>
      </c>
      <c r="C54" s="198">
        <f>+A51-32</f>
        <v>568</v>
      </c>
      <c r="D54" s="165">
        <f t="shared" si="15"/>
        <v>560</v>
      </c>
      <c r="E54" s="198">
        <v>1</v>
      </c>
      <c r="F54" s="202"/>
      <c r="G54" s="198" t="str">
        <f t="shared" si="16"/>
        <v>tbc</v>
      </c>
      <c r="H54" s="198" t="str">
        <f t="shared" ref="H54:H59" si="17">+F$1</f>
        <v>white</v>
      </c>
      <c r="I54" s="199"/>
      <c r="J54" s="64" t="s">
        <v>44</v>
      </c>
    </row>
    <row r="55" spans="1:10" hidden="1">
      <c r="B55" s="63">
        <f>+A52*1</f>
        <v>0</v>
      </c>
      <c r="C55" s="198">
        <f>+A51-32</f>
        <v>568</v>
      </c>
      <c r="D55" s="198">
        <v>125</v>
      </c>
      <c r="E55" s="198">
        <v>1</v>
      </c>
      <c r="F55" s="202"/>
      <c r="G55" s="198" t="str">
        <f t="shared" si="16"/>
        <v>tbc</v>
      </c>
      <c r="H55" s="198" t="str">
        <f t="shared" si="17"/>
        <v>white</v>
      </c>
      <c r="I55" s="199"/>
      <c r="J55" s="64" t="s">
        <v>45</v>
      </c>
    </row>
    <row r="56" spans="1:10" hidden="1">
      <c r="B56" s="63">
        <f>+A52*1</f>
        <v>0</v>
      </c>
      <c r="C56" s="198">
        <f>+$C$3-17</f>
        <v>703</v>
      </c>
      <c r="D56" s="198">
        <f>+A51-32</f>
        <v>568</v>
      </c>
      <c r="E56" s="198"/>
      <c r="F56" s="202"/>
      <c r="G56" s="198" t="str">
        <f t="shared" si="16"/>
        <v>tbc</v>
      </c>
      <c r="H56" s="198" t="str">
        <f t="shared" si="17"/>
        <v>white</v>
      </c>
      <c r="I56" s="199"/>
      <c r="J56" s="64" t="s">
        <v>33</v>
      </c>
    </row>
    <row r="57" spans="1:10" ht="18" hidden="1" customHeight="1">
      <c r="B57" s="63">
        <f>+B51*4</f>
        <v>0</v>
      </c>
      <c r="C57" s="198">
        <f>+A51-90</f>
        <v>510</v>
      </c>
      <c r="D57" s="198">
        <v>240</v>
      </c>
      <c r="E57" s="198">
        <v>1</v>
      </c>
      <c r="F57" s="202"/>
      <c r="G57" s="198" t="str">
        <f t="shared" si="16"/>
        <v>tbc</v>
      </c>
      <c r="H57" s="198" t="str">
        <f t="shared" si="17"/>
        <v>white</v>
      </c>
      <c r="I57" s="199"/>
      <c r="J57" s="64" t="s">
        <v>51</v>
      </c>
    </row>
    <row r="58" spans="1:10" hidden="1">
      <c r="B58" s="63">
        <f>+B51*2</f>
        <v>0</v>
      </c>
      <c r="C58" s="198">
        <f>+A51-90</f>
        <v>510</v>
      </c>
      <c r="D58" s="198">
        <f>+C59-32</f>
        <v>468</v>
      </c>
      <c r="E58" s="198"/>
      <c r="F58" s="202"/>
      <c r="G58" s="198" t="str">
        <f t="shared" si="16"/>
        <v>tbc</v>
      </c>
      <c r="H58" s="198" t="str">
        <f t="shared" si="17"/>
        <v>white</v>
      </c>
      <c r="I58" s="199"/>
      <c r="J58" s="64" t="s">
        <v>52</v>
      </c>
    </row>
    <row r="59" spans="1:10" ht="15.75" hidden="1" thickBot="1">
      <c r="B59" s="167">
        <f>+B51*4</f>
        <v>0</v>
      </c>
      <c r="C59" s="168">
        <f>+D51</f>
        <v>500</v>
      </c>
      <c r="D59" s="168">
        <v>240</v>
      </c>
      <c r="E59" s="65">
        <v>1</v>
      </c>
      <c r="F59" s="203"/>
      <c r="G59" s="65" t="str">
        <f t="shared" si="16"/>
        <v>tbc</v>
      </c>
      <c r="H59" s="65" t="str">
        <f t="shared" si="17"/>
        <v>white</v>
      </c>
      <c r="I59" s="192"/>
      <c r="J59" s="66" t="s">
        <v>53</v>
      </c>
    </row>
    <row r="60" spans="1:10" ht="15.75" hidden="1" thickBot="1">
      <c r="A60" s="75">
        <f>+'input sheet'!B21</f>
        <v>750</v>
      </c>
      <c r="B60" s="100">
        <f>+A61</f>
        <v>0</v>
      </c>
      <c r="C60" s="73" t="s">
        <v>4</v>
      </c>
      <c r="D60" s="76" t="s">
        <v>82</v>
      </c>
      <c r="E60" s="77">
        <v>2</v>
      </c>
      <c r="F60" s="177">
        <f>+(C62-3)-(C$1*35)</f>
        <v>717</v>
      </c>
      <c r="G60" s="173">
        <f>+A60/2-3</f>
        <v>372</v>
      </c>
      <c r="H60" s="177">
        <f>+E60*B60</f>
        <v>0</v>
      </c>
      <c r="I60" s="177"/>
      <c r="J60" s="178"/>
    </row>
    <row r="61" spans="1:10" hidden="1">
      <c r="A61" s="1">
        <f>+'input sheet'!A21</f>
        <v>0</v>
      </c>
      <c r="B61" s="67"/>
      <c r="C61" s="53"/>
      <c r="D61" s="53"/>
      <c r="E61" s="53"/>
      <c r="F61" s="53"/>
      <c r="G61" s="53"/>
      <c r="H61" s="53"/>
      <c r="I61" s="197"/>
      <c r="J61" s="68"/>
    </row>
    <row r="62" spans="1:10" hidden="1">
      <c r="B62" s="63">
        <f>+A61*2</f>
        <v>0</v>
      </c>
      <c r="C62" s="7">
        <f>+$C$3</f>
        <v>720</v>
      </c>
      <c r="D62" s="7">
        <f>+$C$4</f>
        <v>560</v>
      </c>
      <c r="E62" s="7">
        <v>1</v>
      </c>
      <c r="F62" s="202"/>
      <c r="G62" s="7" t="str">
        <f t="shared" ref="G62:G66" si="18">+F$2</f>
        <v>tbc</v>
      </c>
      <c r="H62" s="7" t="str">
        <f t="shared" ref="H62:H66" si="19">+F$1</f>
        <v>white</v>
      </c>
      <c r="I62" s="172"/>
      <c r="J62" s="64" t="s">
        <v>34</v>
      </c>
    </row>
    <row r="63" spans="1:10" hidden="1">
      <c r="B63" s="63">
        <f>+A61*1</f>
        <v>0</v>
      </c>
      <c r="C63" s="7">
        <f>+A60-32</f>
        <v>718</v>
      </c>
      <c r="D63" s="7">
        <f>+$C$4</f>
        <v>560</v>
      </c>
      <c r="E63" s="7">
        <v>1</v>
      </c>
      <c r="F63" s="202"/>
      <c r="G63" s="7" t="str">
        <f t="shared" si="18"/>
        <v>tbc</v>
      </c>
      <c r="H63" s="7" t="str">
        <f t="shared" si="19"/>
        <v>white</v>
      </c>
      <c r="I63" s="172"/>
      <c r="J63" s="64" t="s">
        <v>44</v>
      </c>
    </row>
    <row r="64" spans="1:10" hidden="1">
      <c r="B64" s="63">
        <f>+A61*1</f>
        <v>0</v>
      </c>
      <c r="C64" s="7">
        <f>+A60-32</f>
        <v>718</v>
      </c>
      <c r="D64" s="7">
        <f>+C$4-26</f>
        <v>534</v>
      </c>
      <c r="E64" s="7">
        <v>1</v>
      </c>
      <c r="F64" s="202"/>
      <c r="G64" s="7" t="str">
        <f t="shared" si="18"/>
        <v>tbc</v>
      </c>
      <c r="H64" s="7" t="str">
        <f t="shared" si="19"/>
        <v>white</v>
      </c>
      <c r="I64" s="172"/>
      <c r="J64" s="64" t="s">
        <v>55</v>
      </c>
    </row>
    <row r="65" spans="1:10" hidden="1">
      <c r="B65" s="63">
        <f>+A61*1</f>
        <v>0</v>
      </c>
      <c r="C65" s="7">
        <f>+A60-32</f>
        <v>718</v>
      </c>
      <c r="D65" s="7">
        <v>125</v>
      </c>
      <c r="E65" s="7">
        <v>1</v>
      </c>
      <c r="F65" s="202"/>
      <c r="G65" s="7" t="str">
        <f t="shared" si="18"/>
        <v>tbc</v>
      </c>
      <c r="H65" s="7" t="str">
        <f t="shared" si="19"/>
        <v>white</v>
      </c>
      <c r="I65" s="172"/>
      <c r="J65" s="64" t="s">
        <v>45</v>
      </c>
    </row>
    <row r="66" spans="1:10" ht="15.75" hidden="1" thickBot="1">
      <c r="B66" s="70">
        <f>+A61*1</f>
        <v>0</v>
      </c>
      <c r="C66" s="50">
        <f>+$C$3-17</f>
        <v>703</v>
      </c>
      <c r="D66" s="50">
        <f>+A60-32</f>
        <v>718</v>
      </c>
      <c r="E66" s="50"/>
      <c r="F66" s="203"/>
      <c r="G66" s="65" t="str">
        <f t="shared" si="18"/>
        <v>tbc</v>
      </c>
      <c r="H66" s="65" t="str">
        <f t="shared" si="19"/>
        <v>white</v>
      </c>
      <c r="I66" s="192"/>
      <c r="J66" s="66" t="s">
        <v>33</v>
      </c>
    </row>
    <row r="67" spans="1:10" ht="20.25" hidden="1" customHeight="1" thickBot="1">
      <c r="A67" s="75">
        <f>+'input sheet'!B22</f>
        <v>750</v>
      </c>
      <c r="B67" s="72">
        <f>+A68</f>
        <v>0</v>
      </c>
      <c r="C67" s="73" t="s">
        <v>4</v>
      </c>
      <c r="D67" s="73">
        <f>+'input sheet'!D22</f>
        <v>500</v>
      </c>
      <c r="E67" s="74" t="str">
        <f>+'input sheet'!C22</f>
        <v>3 draw st</v>
      </c>
      <c r="F67" s="177">
        <v>177</v>
      </c>
      <c r="G67" s="161">
        <v>356</v>
      </c>
      <c r="H67" s="162">
        <f>+A67-3</f>
        <v>747</v>
      </c>
      <c r="I67" s="194">
        <f>+B67*2</f>
        <v>0</v>
      </c>
      <c r="J67" s="163">
        <f>+B67*1</f>
        <v>0</v>
      </c>
    </row>
    <row r="68" spans="1:10" ht="20.25" hidden="1" customHeight="1">
      <c r="A68" s="71">
        <f>+'input sheet'!A22</f>
        <v>0</v>
      </c>
      <c r="B68" s="67"/>
      <c r="C68" s="53"/>
      <c r="D68" s="53"/>
      <c r="E68" s="53"/>
      <c r="F68" s="7"/>
      <c r="G68" s="7"/>
      <c r="H68" s="5"/>
      <c r="I68" s="191"/>
      <c r="J68" s="62"/>
    </row>
    <row r="69" spans="1:10" hidden="1">
      <c r="B69" s="63">
        <f>+A68*2</f>
        <v>0</v>
      </c>
      <c r="C69" s="7">
        <f>+$C$3</f>
        <v>720</v>
      </c>
      <c r="D69" s="7">
        <f>+$C$4</f>
        <v>560</v>
      </c>
      <c r="E69" s="7">
        <v>1</v>
      </c>
      <c r="F69" s="202"/>
      <c r="G69" s="7" t="str">
        <f t="shared" ref="G69:G77" si="20">+F$2</f>
        <v>tbc</v>
      </c>
      <c r="H69" s="7" t="str">
        <f>+F$1</f>
        <v>white</v>
      </c>
      <c r="I69" s="172"/>
      <c r="J69" s="64" t="s">
        <v>34</v>
      </c>
    </row>
    <row r="70" spans="1:10" hidden="1">
      <c r="B70" s="63">
        <f>+A68*1</f>
        <v>0</v>
      </c>
      <c r="C70" s="7">
        <f>+A67-32</f>
        <v>718</v>
      </c>
      <c r="D70" s="7">
        <f>+$C$4</f>
        <v>560</v>
      </c>
      <c r="E70" s="7">
        <v>1</v>
      </c>
      <c r="F70" s="202"/>
      <c r="G70" s="7" t="str">
        <f t="shared" si="20"/>
        <v>tbc</v>
      </c>
      <c r="H70" s="7" t="str">
        <f t="shared" ref="H70:H77" si="21">+F$1</f>
        <v>white</v>
      </c>
      <c r="I70" s="172"/>
      <c r="J70" s="64" t="s">
        <v>44</v>
      </c>
    </row>
    <row r="71" spans="1:10" hidden="1">
      <c r="B71" s="63">
        <f>+A68*1</f>
        <v>0</v>
      </c>
      <c r="C71" s="7">
        <f>+A67-32</f>
        <v>718</v>
      </c>
      <c r="D71" s="7">
        <v>125</v>
      </c>
      <c r="E71" s="7">
        <v>1</v>
      </c>
      <c r="F71" s="202"/>
      <c r="G71" s="7" t="str">
        <f t="shared" si="20"/>
        <v>tbc</v>
      </c>
      <c r="H71" s="7" t="str">
        <f t="shared" si="21"/>
        <v>white</v>
      </c>
      <c r="I71" s="172"/>
      <c r="J71" s="64" t="s">
        <v>45</v>
      </c>
    </row>
    <row r="72" spans="1:10" hidden="1">
      <c r="B72" s="63">
        <f>+A68*1</f>
        <v>0</v>
      </c>
      <c r="C72" s="7">
        <f>+$C$3-17</f>
        <v>703</v>
      </c>
      <c r="D72" s="7">
        <f>+A67-32</f>
        <v>718</v>
      </c>
      <c r="E72" s="7"/>
      <c r="F72" s="202"/>
      <c r="G72" s="7" t="str">
        <f t="shared" si="20"/>
        <v>tbc</v>
      </c>
      <c r="H72" s="7" t="str">
        <f t="shared" si="21"/>
        <v>white</v>
      </c>
      <c r="I72" s="172"/>
      <c r="J72" s="64" t="s">
        <v>33</v>
      </c>
    </row>
    <row r="73" spans="1:10" hidden="1">
      <c r="B73" s="63">
        <f>+A68*4</f>
        <v>0</v>
      </c>
      <c r="C73" s="7">
        <f>+A67-90</f>
        <v>660</v>
      </c>
      <c r="D73" s="7">
        <v>127</v>
      </c>
      <c r="E73" s="7">
        <v>1</v>
      </c>
      <c r="F73" s="202"/>
      <c r="G73" s="7" t="str">
        <f t="shared" si="20"/>
        <v>tbc</v>
      </c>
      <c r="H73" s="7" t="str">
        <f t="shared" si="21"/>
        <v>white</v>
      </c>
      <c r="I73" s="172"/>
      <c r="J73" s="64" t="s">
        <v>51</v>
      </c>
    </row>
    <row r="74" spans="1:10" hidden="1">
      <c r="B74" s="63">
        <f>+A68*2</f>
        <v>0</v>
      </c>
      <c r="C74" s="7">
        <f>+A67-90</f>
        <v>660</v>
      </c>
      <c r="D74" s="7">
        <v>240</v>
      </c>
      <c r="E74" s="7">
        <v>1</v>
      </c>
      <c r="F74" s="202"/>
      <c r="G74" s="7" t="str">
        <f t="shared" si="20"/>
        <v>tbc</v>
      </c>
      <c r="H74" s="7" t="str">
        <f t="shared" si="21"/>
        <v>white</v>
      </c>
      <c r="I74" s="172"/>
      <c r="J74" s="64" t="s">
        <v>51</v>
      </c>
    </row>
    <row r="75" spans="1:10" hidden="1">
      <c r="B75" s="63">
        <f>+A68*3</f>
        <v>0</v>
      </c>
      <c r="C75" s="7">
        <f>+A67-90</f>
        <v>660</v>
      </c>
      <c r="D75" s="7">
        <f>+D67-32</f>
        <v>468</v>
      </c>
      <c r="E75" s="7"/>
      <c r="F75" s="202"/>
      <c r="G75" s="7" t="str">
        <f t="shared" si="20"/>
        <v>tbc</v>
      </c>
      <c r="H75" s="7" t="str">
        <f t="shared" si="21"/>
        <v>white</v>
      </c>
      <c r="I75" s="172"/>
      <c r="J75" s="64" t="s">
        <v>52</v>
      </c>
    </row>
    <row r="76" spans="1:10" hidden="1">
      <c r="B76" s="63">
        <f>+A68*2</f>
        <v>0</v>
      </c>
      <c r="C76" s="7">
        <f>+D67</f>
        <v>500</v>
      </c>
      <c r="D76" s="7">
        <v>240</v>
      </c>
      <c r="E76" s="7">
        <v>1</v>
      </c>
      <c r="F76" s="202"/>
      <c r="G76" s="7" t="str">
        <f t="shared" si="20"/>
        <v>tbc</v>
      </c>
      <c r="H76" s="7" t="str">
        <f t="shared" si="21"/>
        <v>white</v>
      </c>
      <c r="I76" s="172"/>
      <c r="J76" s="64" t="s">
        <v>53</v>
      </c>
    </row>
    <row r="77" spans="1:10" ht="15.75" hidden="1" thickBot="1">
      <c r="B77" s="70">
        <f>A68*4</f>
        <v>0</v>
      </c>
      <c r="C77" s="50">
        <f>+D67</f>
        <v>500</v>
      </c>
      <c r="D77" s="50">
        <v>127</v>
      </c>
      <c r="E77" s="50">
        <v>1</v>
      </c>
      <c r="F77" s="203"/>
      <c r="G77" s="65" t="str">
        <f t="shared" si="20"/>
        <v>tbc</v>
      </c>
      <c r="H77" s="65" t="str">
        <f t="shared" si="21"/>
        <v>white</v>
      </c>
      <c r="I77" s="192"/>
      <c r="J77" s="66" t="s">
        <v>53</v>
      </c>
    </row>
    <row r="78" spans="1:10" ht="15.75" hidden="1" thickBot="1">
      <c r="A78" s="72">
        <f>+'input sheet'!B23</f>
        <v>900</v>
      </c>
      <c r="B78" s="100">
        <f>+A79</f>
        <v>0</v>
      </c>
      <c r="C78" s="73" t="s">
        <v>4</v>
      </c>
      <c r="D78" s="76" t="str">
        <f>+'input sheet'!C23</f>
        <v>crn</v>
      </c>
      <c r="E78" s="77"/>
      <c r="F78" s="176">
        <f>+C80-3</f>
        <v>717</v>
      </c>
      <c r="G78" s="177">
        <f>+C81-552</f>
        <v>316</v>
      </c>
      <c r="H78" s="177">
        <f>+D81-549</f>
        <v>319</v>
      </c>
      <c r="I78" s="177">
        <f>+B78*1</f>
        <v>0</v>
      </c>
      <c r="J78" s="178">
        <f>+B78*1</f>
        <v>0</v>
      </c>
    </row>
    <row r="79" spans="1:10" hidden="1">
      <c r="A79">
        <f>+'input sheet'!A23</f>
        <v>0</v>
      </c>
      <c r="B79" s="67"/>
      <c r="C79" s="53"/>
      <c r="D79" s="53"/>
      <c r="E79" s="53"/>
      <c r="F79" s="7"/>
      <c r="G79" s="7"/>
      <c r="H79" s="7"/>
      <c r="I79" s="172"/>
      <c r="J79" s="64"/>
    </row>
    <row r="80" spans="1:10" hidden="1">
      <c r="B80" s="63">
        <f>+A79*2</f>
        <v>0</v>
      </c>
      <c r="C80" s="7">
        <f>+$C$3</f>
        <v>720</v>
      </c>
      <c r="D80" s="7">
        <f>+$C$4</f>
        <v>560</v>
      </c>
      <c r="E80" s="7">
        <v>1</v>
      </c>
      <c r="F80" s="202"/>
      <c r="G80" s="7" t="str">
        <f t="shared" ref="G80:G83" si="22">+F$2</f>
        <v>tbc</v>
      </c>
      <c r="H80" s="7" t="str">
        <f t="shared" ref="H80:H83" si="23">+F$1</f>
        <v>white</v>
      </c>
      <c r="I80" s="172"/>
      <c r="J80" s="64" t="s">
        <v>34</v>
      </c>
    </row>
    <row r="81" spans="1:13" hidden="1">
      <c r="B81" s="63">
        <f>+A79*3</f>
        <v>0</v>
      </c>
      <c r="C81" s="7">
        <f>+A78-32</f>
        <v>868</v>
      </c>
      <c r="D81" s="7">
        <f>+A78-32</f>
        <v>868</v>
      </c>
      <c r="E81" s="7"/>
      <c r="F81" s="202"/>
      <c r="G81" s="7" t="str">
        <f t="shared" si="22"/>
        <v>tbc</v>
      </c>
      <c r="H81" s="7" t="str">
        <f t="shared" si="23"/>
        <v>white</v>
      </c>
      <c r="I81" s="172"/>
      <c r="J81" s="64" t="s">
        <v>55</v>
      </c>
      <c r="M81">
        <f>+C81-316</f>
        <v>552</v>
      </c>
    </row>
    <row r="82" spans="1:13" hidden="1">
      <c r="B82" s="63">
        <f>+A79*1</f>
        <v>0</v>
      </c>
      <c r="C82" s="7">
        <f>+$C$3</f>
        <v>720</v>
      </c>
      <c r="D82" s="7">
        <v>300</v>
      </c>
      <c r="E82" s="7"/>
      <c r="F82" s="202"/>
      <c r="G82" s="7" t="str">
        <f t="shared" si="22"/>
        <v>tbc</v>
      </c>
      <c r="H82" s="7" t="str">
        <f t="shared" ref="H82" si="24">+F$1</f>
        <v>white</v>
      </c>
      <c r="I82" s="172"/>
      <c r="J82" s="64" t="s">
        <v>42</v>
      </c>
    </row>
    <row r="83" spans="1:13" ht="15.75" hidden="1" thickBot="1">
      <c r="B83" s="70">
        <f>+A79*2</f>
        <v>0</v>
      </c>
      <c r="C83" s="50">
        <f>+$C$3</f>
        <v>720</v>
      </c>
      <c r="D83" s="50">
        <f>+A78-244</f>
        <v>656</v>
      </c>
      <c r="E83" s="50"/>
      <c r="F83" s="203"/>
      <c r="G83" s="65" t="str">
        <f t="shared" si="22"/>
        <v>tbc</v>
      </c>
      <c r="H83" s="65" t="str">
        <f t="shared" si="23"/>
        <v>white</v>
      </c>
      <c r="I83" s="192"/>
      <c r="J83" s="66" t="s">
        <v>43</v>
      </c>
    </row>
    <row r="84" spans="1:13" ht="15.75" hidden="1" thickBot="1">
      <c r="A84" s="72">
        <f>+'input sheet'!B24</f>
        <v>1000</v>
      </c>
      <c r="B84" s="100">
        <f>+A85</f>
        <v>0</v>
      </c>
      <c r="C84" s="73" t="s">
        <v>4</v>
      </c>
      <c r="D84" s="76" t="str">
        <f>+'input sheet'!C24</f>
        <v>crn spec</v>
      </c>
      <c r="E84" s="77"/>
      <c r="F84" s="176">
        <f>+C86-3</f>
        <v>717</v>
      </c>
      <c r="G84" s="177">
        <f>+C87-552</f>
        <v>316</v>
      </c>
      <c r="H84" s="177">
        <f>+D87-549</f>
        <v>419</v>
      </c>
      <c r="I84" s="177">
        <f>+B84*1</f>
        <v>0</v>
      </c>
      <c r="J84" s="178">
        <f>+B84*1</f>
        <v>0</v>
      </c>
    </row>
    <row r="85" spans="1:13" hidden="1">
      <c r="A85">
        <f>+'input sheet'!A24</f>
        <v>0</v>
      </c>
      <c r="B85" s="67"/>
      <c r="C85" s="53"/>
      <c r="D85" s="53"/>
      <c r="E85" s="53"/>
      <c r="F85" s="118"/>
      <c r="G85" s="118"/>
      <c r="H85" s="118"/>
      <c r="I85" s="172"/>
      <c r="J85" s="64"/>
    </row>
    <row r="86" spans="1:13" hidden="1">
      <c r="B86" s="63">
        <f>+A85*2</f>
        <v>0</v>
      </c>
      <c r="C86" s="118">
        <f>+$C$3</f>
        <v>720</v>
      </c>
      <c r="D86" s="118">
        <f>+$C$4</f>
        <v>560</v>
      </c>
      <c r="E86" s="118">
        <v>1</v>
      </c>
      <c r="F86" s="202"/>
      <c r="G86" s="118" t="str">
        <f t="shared" ref="G86:G90" si="25">+F$2</f>
        <v>tbc</v>
      </c>
      <c r="H86" s="118" t="str">
        <f t="shared" ref="H86:H90" si="26">+F$1</f>
        <v>white</v>
      </c>
      <c r="I86" s="172"/>
      <c r="J86" s="64" t="s">
        <v>34</v>
      </c>
    </row>
    <row r="87" spans="1:13" hidden="1">
      <c r="B87" s="63">
        <f>+A85*3</f>
        <v>0</v>
      </c>
      <c r="C87" s="118">
        <f>+'input sheet'!D24-32</f>
        <v>868</v>
      </c>
      <c r="D87" s="118">
        <f>+A84-32</f>
        <v>968</v>
      </c>
      <c r="E87" s="118"/>
      <c r="F87" s="202"/>
      <c r="G87" s="118" t="str">
        <f t="shared" si="25"/>
        <v>tbc</v>
      </c>
      <c r="H87" s="118" t="str">
        <f t="shared" si="26"/>
        <v>white</v>
      </c>
      <c r="I87" s="172"/>
      <c r="J87" s="64" t="s">
        <v>55</v>
      </c>
    </row>
    <row r="88" spans="1:13" hidden="1">
      <c r="B88" s="63">
        <f>+A85*1</f>
        <v>0</v>
      </c>
      <c r="C88" s="118">
        <f>+$C$3</f>
        <v>720</v>
      </c>
      <c r="D88" s="118">
        <v>300</v>
      </c>
      <c r="E88" s="118"/>
      <c r="F88" s="202"/>
      <c r="G88" s="118" t="str">
        <f t="shared" si="25"/>
        <v>tbc</v>
      </c>
      <c r="H88" s="118" t="str">
        <f t="shared" si="26"/>
        <v>white</v>
      </c>
      <c r="I88" s="172"/>
      <c r="J88" s="64" t="s">
        <v>42</v>
      </c>
    </row>
    <row r="89" spans="1:13" ht="15.75" hidden="1" thickBot="1">
      <c r="B89" s="70">
        <f>+A85*1</f>
        <v>0</v>
      </c>
      <c r="C89" s="50">
        <f>+$C$3</f>
        <v>720</v>
      </c>
      <c r="D89" s="50">
        <f>+A84-244</f>
        <v>756</v>
      </c>
      <c r="E89" s="50"/>
      <c r="F89" s="203"/>
      <c r="G89" s="65" t="str">
        <f t="shared" ref="G89" si="27">+F$2</f>
        <v>tbc</v>
      </c>
      <c r="H89" s="65" t="str">
        <f t="shared" ref="H89" si="28">+F$1</f>
        <v>white</v>
      </c>
      <c r="I89" s="192"/>
      <c r="J89" s="66" t="s">
        <v>43</v>
      </c>
    </row>
    <row r="90" spans="1:13" ht="15.75" hidden="1" thickBot="1">
      <c r="B90" s="70">
        <f>+A85*1</f>
        <v>0</v>
      </c>
      <c r="C90" s="50">
        <f>+$C$3</f>
        <v>720</v>
      </c>
      <c r="D90" s="50">
        <f>+'input sheet'!D24-244</f>
        <v>656</v>
      </c>
      <c r="E90" s="50"/>
      <c r="F90" s="203"/>
      <c r="G90" s="65" t="str">
        <f t="shared" si="25"/>
        <v>tbc</v>
      </c>
      <c r="H90" s="65" t="str">
        <f t="shared" si="26"/>
        <v>white</v>
      </c>
      <c r="I90" s="192"/>
      <c r="J90" s="66" t="s">
        <v>43</v>
      </c>
    </row>
    <row r="91" spans="1:13" ht="15.75" hidden="1" thickBot="1">
      <c r="A91" s="72">
        <f>+'input sheet'!B25</f>
        <v>900</v>
      </c>
      <c r="B91" s="72">
        <f>+A92</f>
        <v>0</v>
      </c>
      <c r="C91" s="73" t="s">
        <v>4</v>
      </c>
      <c r="D91" s="76"/>
      <c r="E91" s="77">
        <v>2</v>
      </c>
      <c r="F91" s="177">
        <f>+(C93-3)-(C$1*35)</f>
        <v>717</v>
      </c>
      <c r="G91" s="173">
        <f>+A91/2-3</f>
        <v>447</v>
      </c>
      <c r="H91" s="177"/>
      <c r="I91" s="194">
        <f>+B91*2</f>
        <v>0</v>
      </c>
      <c r="J91" s="178"/>
    </row>
    <row r="92" spans="1:13" hidden="1">
      <c r="A92">
        <f>+'input sheet'!A25</f>
        <v>0</v>
      </c>
      <c r="B92" s="67"/>
      <c r="C92" s="53"/>
      <c r="D92" s="53"/>
      <c r="E92" s="53"/>
      <c r="F92" s="7"/>
      <c r="G92" s="7"/>
      <c r="H92" s="7"/>
      <c r="I92" s="172"/>
      <c r="J92" s="64"/>
    </row>
    <row r="93" spans="1:13" hidden="1">
      <c r="B93" s="63">
        <f>+A92*2</f>
        <v>0</v>
      </c>
      <c r="C93" s="7">
        <f>+$C$3</f>
        <v>720</v>
      </c>
      <c r="D93" s="7">
        <f>+$C$4</f>
        <v>560</v>
      </c>
      <c r="E93" s="7">
        <v>1</v>
      </c>
      <c r="F93" s="202"/>
      <c r="G93" s="7" t="str">
        <f t="shared" ref="G93:G97" si="29">+F$2</f>
        <v>tbc</v>
      </c>
      <c r="H93" s="7" t="str">
        <f t="shared" ref="H93:H205" si="30">+F$1</f>
        <v>white</v>
      </c>
      <c r="I93" s="172"/>
      <c r="J93" s="64" t="s">
        <v>34</v>
      </c>
    </row>
    <row r="94" spans="1:13" hidden="1">
      <c r="B94" s="63">
        <f>+A92*1</f>
        <v>0</v>
      </c>
      <c r="C94" s="7">
        <f>+A91-32</f>
        <v>868</v>
      </c>
      <c r="D94" s="7">
        <f>+$C$4</f>
        <v>560</v>
      </c>
      <c r="E94" s="7">
        <v>1</v>
      </c>
      <c r="F94" s="202"/>
      <c r="G94" s="7" t="str">
        <f t="shared" si="29"/>
        <v>tbc</v>
      </c>
      <c r="H94" s="7" t="str">
        <f t="shared" si="30"/>
        <v>white</v>
      </c>
      <c r="I94" s="172"/>
      <c r="J94" s="64" t="s">
        <v>44</v>
      </c>
    </row>
    <row r="95" spans="1:13" hidden="1">
      <c r="B95" s="63">
        <f>+A92*1</f>
        <v>0</v>
      </c>
      <c r="C95" s="7">
        <f>+A91-32</f>
        <v>868</v>
      </c>
      <c r="D95" s="7">
        <f>+C$4-26</f>
        <v>534</v>
      </c>
      <c r="E95" s="7">
        <v>1</v>
      </c>
      <c r="F95" s="202"/>
      <c r="G95" s="7" t="str">
        <f t="shared" si="29"/>
        <v>tbc</v>
      </c>
      <c r="H95" s="7" t="str">
        <f t="shared" si="30"/>
        <v>white</v>
      </c>
      <c r="I95" s="172"/>
      <c r="J95" s="64" t="s">
        <v>55</v>
      </c>
    </row>
    <row r="96" spans="1:13" hidden="1">
      <c r="B96" s="63">
        <f>+A92*1</f>
        <v>0</v>
      </c>
      <c r="C96" s="7">
        <f>+A91-32</f>
        <v>868</v>
      </c>
      <c r="D96" s="7">
        <v>125</v>
      </c>
      <c r="E96" s="7">
        <v>1</v>
      </c>
      <c r="F96" s="202"/>
      <c r="G96" s="7" t="str">
        <f t="shared" si="29"/>
        <v>tbc</v>
      </c>
      <c r="H96" s="7" t="str">
        <f t="shared" si="30"/>
        <v>white</v>
      </c>
      <c r="I96" s="172"/>
      <c r="J96" s="64" t="s">
        <v>45</v>
      </c>
    </row>
    <row r="97" spans="1:10" ht="15.75" hidden="1" thickBot="1">
      <c r="B97" s="3">
        <f>+A92*1</f>
        <v>0</v>
      </c>
      <c r="C97" s="152">
        <f>+$C$3-17</f>
        <v>703</v>
      </c>
      <c r="D97" s="152">
        <f>+A91-32</f>
        <v>868</v>
      </c>
      <c r="E97" s="152"/>
      <c r="F97" s="203"/>
      <c r="G97" s="65" t="str">
        <f t="shared" si="29"/>
        <v>tbc</v>
      </c>
      <c r="H97" s="65" t="str">
        <f t="shared" si="30"/>
        <v>white</v>
      </c>
      <c r="I97" s="192"/>
      <c r="J97" s="66" t="s">
        <v>33</v>
      </c>
    </row>
    <row r="98" spans="1:10" ht="20.25" hidden="1" customHeight="1" thickBot="1">
      <c r="A98" s="75">
        <f>+'input sheet'!B26</f>
        <v>900</v>
      </c>
      <c r="B98" s="153">
        <f>+A99</f>
        <v>0</v>
      </c>
      <c r="C98" s="126" t="s">
        <v>4</v>
      </c>
      <c r="D98" s="126">
        <f>+'input sheet'!D26</f>
        <v>500</v>
      </c>
      <c r="E98" s="127" t="str">
        <f>+'input sheet'!C26</f>
        <v>3 draw st</v>
      </c>
      <c r="F98" s="177">
        <v>177</v>
      </c>
      <c r="G98" s="161">
        <v>356</v>
      </c>
      <c r="H98" s="162">
        <f>+A98-3</f>
        <v>897</v>
      </c>
      <c r="I98" s="194">
        <f>+B98*2</f>
        <v>0</v>
      </c>
      <c r="J98" s="178">
        <f>+B98*1</f>
        <v>0</v>
      </c>
    </row>
    <row r="99" spans="1:10" ht="20.25" hidden="1" customHeight="1">
      <c r="A99" s="71">
        <f>+'input sheet'!A26</f>
        <v>0</v>
      </c>
      <c r="B99" s="67"/>
      <c r="C99" s="53"/>
      <c r="D99" s="53"/>
      <c r="E99" s="53" t="s">
        <v>8</v>
      </c>
      <c r="F99" s="7" t="s">
        <v>9</v>
      </c>
      <c r="G99" s="7" t="s">
        <v>25</v>
      </c>
      <c r="H99" s="5" t="s">
        <v>14</v>
      </c>
      <c r="I99" s="191"/>
      <c r="J99" s="62" t="s">
        <v>21</v>
      </c>
    </row>
    <row r="100" spans="1:10" hidden="1">
      <c r="B100" s="63">
        <f>+A99*2</f>
        <v>0</v>
      </c>
      <c r="C100" s="7">
        <f>+C$3</f>
        <v>720</v>
      </c>
      <c r="D100" s="7">
        <f>+$C$4</f>
        <v>560</v>
      </c>
      <c r="E100" s="7">
        <v>1</v>
      </c>
      <c r="F100" s="202"/>
      <c r="G100" s="7" t="str">
        <f t="shared" ref="G100:G108" si="31">+F$2</f>
        <v>tbc</v>
      </c>
      <c r="H100" s="7" t="str">
        <f>+F$1</f>
        <v>white</v>
      </c>
      <c r="I100" s="172"/>
      <c r="J100" s="64" t="s">
        <v>34</v>
      </c>
    </row>
    <row r="101" spans="1:10" hidden="1">
      <c r="B101" s="63">
        <f>+A99*1</f>
        <v>0</v>
      </c>
      <c r="C101" s="7">
        <f>+A98-32</f>
        <v>868</v>
      </c>
      <c r="D101" s="7">
        <f>+$C$4</f>
        <v>560</v>
      </c>
      <c r="E101" s="7">
        <v>1</v>
      </c>
      <c r="F101" s="202"/>
      <c r="G101" s="7" t="str">
        <f t="shared" si="31"/>
        <v>tbc</v>
      </c>
      <c r="H101" s="7" t="str">
        <f t="shared" ref="H101:H108" si="32">+F$1</f>
        <v>white</v>
      </c>
      <c r="I101" s="172"/>
      <c r="J101" s="64" t="s">
        <v>44</v>
      </c>
    </row>
    <row r="102" spans="1:10" hidden="1">
      <c r="B102" s="63">
        <f>+A99*1</f>
        <v>0</v>
      </c>
      <c r="C102" s="7">
        <f>+A98-32</f>
        <v>868</v>
      </c>
      <c r="D102" s="7">
        <v>125</v>
      </c>
      <c r="E102" s="7">
        <v>1</v>
      </c>
      <c r="F102" s="202"/>
      <c r="G102" s="7" t="str">
        <f t="shared" si="31"/>
        <v>tbc</v>
      </c>
      <c r="H102" s="7" t="str">
        <f t="shared" si="32"/>
        <v>white</v>
      </c>
      <c r="I102" s="172"/>
      <c r="J102" s="64" t="s">
        <v>45</v>
      </c>
    </row>
    <row r="103" spans="1:10" hidden="1">
      <c r="B103" s="63">
        <f>+A99*1</f>
        <v>0</v>
      </c>
      <c r="C103" s="7">
        <f>+$C$3-17</f>
        <v>703</v>
      </c>
      <c r="D103" s="7">
        <f>+A98-32</f>
        <v>868</v>
      </c>
      <c r="E103" s="7"/>
      <c r="F103" s="202"/>
      <c r="G103" s="7" t="str">
        <f t="shared" si="31"/>
        <v>tbc</v>
      </c>
      <c r="H103" s="7" t="str">
        <f t="shared" si="32"/>
        <v>white</v>
      </c>
      <c r="I103" s="172"/>
      <c r="J103" s="64" t="s">
        <v>33</v>
      </c>
    </row>
    <row r="104" spans="1:10" hidden="1">
      <c r="B104" s="63">
        <f>+B98*4</f>
        <v>0</v>
      </c>
      <c r="C104" s="7">
        <f>+A98-90</f>
        <v>810</v>
      </c>
      <c r="D104" s="7">
        <v>127</v>
      </c>
      <c r="E104" s="7">
        <v>1</v>
      </c>
      <c r="F104" s="202"/>
      <c r="G104" s="7" t="str">
        <f t="shared" si="31"/>
        <v>tbc</v>
      </c>
      <c r="H104" s="7" t="str">
        <f t="shared" si="32"/>
        <v>white</v>
      </c>
      <c r="I104" s="172"/>
      <c r="J104" s="64" t="s">
        <v>51</v>
      </c>
    </row>
    <row r="105" spans="1:10" hidden="1">
      <c r="B105" s="63">
        <f>+A99*2</f>
        <v>0</v>
      </c>
      <c r="C105" s="7">
        <f>+A98-90</f>
        <v>810</v>
      </c>
      <c r="D105" s="7">
        <v>240</v>
      </c>
      <c r="E105" s="7">
        <v>1</v>
      </c>
      <c r="F105" s="202"/>
      <c r="G105" s="7" t="str">
        <f t="shared" si="31"/>
        <v>tbc</v>
      </c>
      <c r="H105" s="7" t="str">
        <f t="shared" si="32"/>
        <v>white</v>
      </c>
      <c r="I105" s="172"/>
      <c r="J105" s="64" t="s">
        <v>51</v>
      </c>
    </row>
    <row r="106" spans="1:10" hidden="1">
      <c r="B106" s="63">
        <f>+B98*3</f>
        <v>0</v>
      </c>
      <c r="C106" s="7">
        <f>+A98-90</f>
        <v>810</v>
      </c>
      <c r="D106" s="7">
        <f>+D98-32</f>
        <v>468</v>
      </c>
      <c r="E106" s="7"/>
      <c r="F106" s="202"/>
      <c r="G106" s="7" t="str">
        <f t="shared" si="31"/>
        <v>tbc</v>
      </c>
      <c r="H106" s="7" t="str">
        <f t="shared" si="32"/>
        <v>white</v>
      </c>
      <c r="I106" s="172"/>
      <c r="J106" s="64" t="s">
        <v>52</v>
      </c>
    </row>
    <row r="107" spans="1:10" hidden="1">
      <c r="B107" s="63">
        <f>+A99*2</f>
        <v>0</v>
      </c>
      <c r="C107" s="7">
        <f>+D98</f>
        <v>500</v>
      </c>
      <c r="D107" s="7">
        <v>240</v>
      </c>
      <c r="E107" s="7">
        <v>1</v>
      </c>
      <c r="F107" s="202"/>
      <c r="G107" s="7" t="str">
        <f t="shared" si="31"/>
        <v>tbc</v>
      </c>
      <c r="H107" s="7" t="str">
        <f t="shared" si="32"/>
        <v>white</v>
      </c>
      <c r="I107" s="172"/>
      <c r="J107" s="64" t="s">
        <v>53</v>
      </c>
    </row>
    <row r="108" spans="1:10" ht="15.75" hidden="1" thickBot="1">
      <c r="B108" s="70">
        <f>+B98*4</f>
        <v>0</v>
      </c>
      <c r="C108" s="50">
        <f>+D98</f>
        <v>500</v>
      </c>
      <c r="D108" s="50">
        <v>127</v>
      </c>
      <c r="E108" s="50">
        <v>1</v>
      </c>
      <c r="F108" s="203"/>
      <c r="G108" s="65" t="str">
        <f t="shared" si="31"/>
        <v>tbc</v>
      </c>
      <c r="H108" s="65" t="str">
        <f t="shared" si="32"/>
        <v>white</v>
      </c>
      <c r="I108" s="192"/>
      <c r="J108" s="66" t="s">
        <v>53</v>
      </c>
    </row>
    <row r="109" spans="1:10" ht="15.75" hidden="1" thickBot="1">
      <c r="A109" s="72">
        <f>+'input sheet'!B27</f>
        <v>1000</v>
      </c>
      <c r="B109" s="72">
        <f>+A110</f>
        <v>0</v>
      </c>
      <c r="C109" s="73" t="s">
        <v>4</v>
      </c>
      <c r="D109" s="76"/>
      <c r="E109" s="77">
        <v>2</v>
      </c>
      <c r="F109" s="177">
        <f>+(C111-3)-(C$1*35)</f>
        <v>717</v>
      </c>
      <c r="G109" s="173">
        <f>+A109/2-3</f>
        <v>497</v>
      </c>
      <c r="H109" s="177"/>
      <c r="I109" s="194">
        <f>+B109*2</f>
        <v>0</v>
      </c>
      <c r="J109" s="178"/>
    </row>
    <row r="110" spans="1:10" hidden="1">
      <c r="A110">
        <f>+'input sheet'!A27</f>
        <v>0</v>
      </c>
      <c r="B110" s="67"/>
      <c r="C110" s="53"/>
      <c r="D110" s="53"/>
      <c r="E110" s="53"/>
      <c r="F110" s="7"/>
      <c r="G110" s="7"/>
      <c r="H110" s="7"/>
      <c r="I110" s="172"/>
      <c r="J110" s="64"/>
    </row>
    <row r="111" spans="1:10" hidden="1">
      <c r="B111" s="63">
        <f>+A110*2</f>
        <v>0</v>
      </c>
      <c r="C111" s="7">
        <f>+$C$3</f>
        <v>720</v>
      </c>
      <c r="D111" s="7">
        <f>+$C$4</f>
        <v>560</v>
      </c>
      <c r="E111" s="7">
        <v>1</v>
      </c>
      <c r="F111" s="202"/>
      <c r="G111" s="7" t="str">
        <f t="shared" ref="G111:G115" si="33">+F$2</f>
        <v>tbc</v>
      </c>
      <c r="H111" s="7" t="str">
        <f t="shared" si="30"/>
        <v>white</v>
      </c>
      <c r="I111" s="172"/>
      <c r="J111" s="64" t="s">
        <v>34</v>
      </c>
    </row>
    <row r="112" spans="1:10" hidden="1">
      <c r="B112" s="63">
        <f>+A110*1</f>
        <v>0</v>
      </c>
      <c r="C112" s="7">
        <f>+A109-32</f>
        <v>968</v>
      </c>
      <c r="D112" s="7">
        <f>+$C$4</f>
        <v>560</v>
      </c>
      <c r="E112" s="7">
        <v>1</v>
      </c>
      <c r="F112" s="202"/>
      <c r="G112" s="7" t="str">
        <f t="shared" si="33"/>
        <v>tbc</v>
      </c>
      <c r="H112" s="7" t="str">
        <f t="shared" si="30"/>
        <v>white</v>
      </c>
      <c r="I112" s="172"/>
      <c r="J112" s="64" t="s">
        <v>44</v>
      </c>
    </row>
    <row r="113" spans="1:10" hidden="1">
      <c r="B113" s="63">
        <f>+A110*1</f>
        <v>0</v>
      </c>
      <c r="C113" s="7">
        <f>+A109-32</f>
        <v>968</v>
      </c>
      <c r="D113" s="7">
        <f>+C$4-26</f>
        <v>534</v>
      </c>
      <c r="E113" s="7">
        <v>1</v>
      </c>
      <c r="F113" s="202"/>
      <c r="G113" s="7" t="str">
        <f t="shared" si="33"/>
        <v>tbc</v>
      </c>
      <c r="H113" s="7" t="str">
        <f t="shared" ref="H113" si="34">+F$1</f>
        <v>white</v>
      </c>
      <c r="I113" s="172"/>
      <c r="J113" s="64" t="s">
        <v>55</v>
      </c>
    </row>
    <row r="114" spans="1:10" hidden="1">
      <c r="B114" s="63">
        <f>+A110*1</f>
        <v>0</v>
      </c>
      <c r="C114" s="7">
        <f>+A109-32</f>
        <v>968</v>
      </c>
      <c r="D114" s="7">
        <v>125</v>
      </c>
      <c r="E114" s="7">
        <v>1</v>
      </c>
      <c r="F114" s="202"/>
      <c r="G114" s="7" t="str">
        <f t="shared" si="33"/>
        <v>tbc</v>
      </c>
      <c r="H114" s="7" t="str">
        <f t="shared" si="30"/>
        <v>white</v>
      </c>
      <c r="I114" s="172"/>
      <c r="J114" s="64" t="s">
        <v>45</v>
      </c>
    </row>
    <row r="115" spans="1:10" ht="15.75" hidden="1" thickBot="1">
      <c r="B115" s="70">
        <f>+A110*1</f>
        <v>0</v>
      </c>
      <c r="C115" s="50">
        <f>+$C$3-17</f>
        <v>703</v>
      </c>
      <c r="D115" s="50">
        <f>+A109-32</f>
        <v>968</v>
      </c>
      <c r="E115" s="50"/>
      <c r="F115" s="203"/>
      <c r="G115" s="65" t="str">
        <f t="shared" si="33"/>
        <v>tbc</v>
      </c>
      <c r="H115" s="65" t="str">
        <f t="shared" si="30"/>
        <v>white</v>
      </c>
      <c r="I115" s="192"/>
      <c r="J115" s="66" t="s">
        <v>33</v>
      </c>
    </row>
    <row r="116" spans="1:10" ht="15.75" hidden="1" thickBot="1">
      <c r="A116" s="72">
        <f>+'input sheet'!B28</f>
        <v>1100</v>
      </c>
      <c r="B116" s="72">
        <f>+A117</f>
        <v>0</v>
      </c>
      <c r="C116" s="73" t="s">
        <v>4</v>
      </c>
      <c r="D116" s="76"/>
      <c r="E116" s="77">
        <v>2</v>
      </c>
      <c r="F116" s="177">
        <f>+(C118-3)-(C$1*35)</f>
        <v>717</v>
      </c>
      <c r="G116" s="173">
        <f>+A116/2-3</f>
        <v>547</v>
      </c>
      <c r="H116" s="177"/>
      <c r="I116" s="194">
        <f>+B116*2</f>
        <v>0</v>
      </c>
      <c r="J116" s="178"/>
    </row>
    <row r="117" spans="1:10" hidden="1">
      <c r="A117">
        <f>+'input sheet'!A28</f>
        <v>0</v>
      </c>
      <c r="B117" s="67"/>
      <c r="C117" s="53"/>
      <c r="D117" s="53"/>
      <c r="E117" s="53"/>
      <c r="F117" s="7"/>
      <c r="G117" s="7"/>
      <c r="H117" s="7"/>
      <c r="I117" s="172"/>
      <c r="J117" s="64"/>
    </row>
    <row r="118" spans="1:10" hidden="1">
      <c r="B118" s="63">
        <f>+A117*2</f>
        <v>0</v>
      </c>
      <c r="C118" s="7">
        <f>+$C$3</f>
        <v>720</v>
      </c>
      <c r="D118" s="7">
        <f>+$C$4</f>
        <v>560</v>
      </c>
      <c r="E118" s="7">
        <v>1</v>
      </c>
      <c r="F118" s="202"/>
      <c r="G118" s="7" t="str">
        <f t="shared" ref="G118:G122" si="35">+F$2</f>
        <v>tbc</v>
      </c>
      <c r="H118" s="7" t="str">
        <f t="shared" si="30"/>
        <v>white</v>
      </c>
      <c r="I118" s="172"/>
      <c r="J118" s="64" t="s">
        <v>34</v>
      </c>
    </row>
    <row r="119" spans="1:10" hidden="1">
      <c r="B119" s="63">
        <f>+A117*1</f>
        <v>0</v>
      </c>
      <c r="C119" s="7">
        <f>+A116-32</f>
        <v>1068</v>
      </c>
      <c r="D119" s="7">
        <f>+$C$4</f>
        <v>560</v>
      </c>
      <c r="E119" s="7">
        <v>1</v>
      </c>
      <c r="F119" s="202"/>
      <c r="G119" s="7" t="str">
        <f t="shared" si="35"/>
        <v>tbc</v>
      </c>
      <c r="H119" s="7" t="str">
        <f t="shared" si="30"/>
        <v>white</v>
      </c>
      <c r="I119" s="172"/>
      <c r="J119" s="64" t="s">
        <v>44</v>
      </c>
    </row>
    <row r="120" spans="1:10" hidden="1">
      <c r="B120" s="63">
        <f>+A117*1</f>
        <v>0</v>
      </c>
      <c r="C120" s="7">
        <f>+A116-32</f>
        <v>1068</v>
      </c>
      <c r="D120" s="7">
        <f>+C$4-26</f>
        <v>534</v>
      </c>
      <c r="E120" s="7">
        <v>1</v>
      </c>
      <c r="F120" s="202"/>
      <c r="G120" s="7" t="str">
        <f t="shared" si="35"/>
        <v>tbc</v>
      </c>
      <c r="H120" s="7" t="str">
        <f t="shared" si="30"/>
        <v>white</v>
      </c>
      <c r="I120" s="172"/>
      <c r="J120" s="64" t="s">
        <v>55</v>
      </c>
    </row>
    <row r="121" spans="1:10" hidden="1">
      <c r="B121" s="63">
        <f>+A117*1</f>
        <v>0</v>
      </c>
      <c r="C121" s="7">
        <f>+A116-32</f>
        <v>1068</v>
      </c>
      <c r="D121" s="7">
        <v>125</v>
      </c>
      <c r="E121" s="7">
        <v>1</v>
      </c>
      <c r="F121" s="202"/>
      <c r="G121" s="7" t="str">
        <f t="shared" si="35"/>
        <v>tbc</v>
      </c>
      <c r="H121" s="7" t="str">
        <f t="shared" si="30"/>
        <v>white</v>
      </c>
      <c r="I121" s="172"/>
      <c r="J121" s="64" t="s">
        <v>45</v>
      </c>
    </row>
    <row r="122" spans="1:10" ht="15.75" hidden="1" thickBot="1">
      <c r="B122" s="70">
        <f>+A117*1</f>
        <v>0</v>
      </c>
      <c r="C122" s="50">
        <f>+$C$3-17</f>
        <v>703</v>
      </c>
      <c r="D122" s="50">
        <f>+A116-32</f>
        <v>1068</v>
      </c>
      <c r="E122" s="50"/>
      <c r="F122" s="203"/>
      <c r="G122" s="65" t="str">
        <f t="shared" si="35"/>
        <v>tbc</v>
      </c>
      <c r="H122" s="65" t="str">
        <f t="shared" si="30"/>
        <v>white</v>
      </c>
      <c r="I122" s="192"/>
      <c r="J122" s="66" t="s">
        <v>33</v>
      </c>
    </row>
    <row r="123" spans="1:10" ht="15.75" hidden="1" thickBot="1">
      <c r="A123" s="72">
        <f>+'input sheet'!B29</f>
        <v>1200</v>
      </c>
      <c r="B123" s="72">
        <f>+A124</f>
        <v>0</v>
      </c>
      <c r="C123" s="73" t="s">
        <v>4</v>
      </c>
      <c r="D123" s="76"/>
      <c r="E123" s="77">
        <v>2</v>
      </c>
      <c r="F123" s="177">
        <f>+(C125-3)-(C$1*35)</f>
        <v>717</v>
      </c>
      <c r="G123" s="173">
        <f>+A123/2-3</f>
        <v>597</v>
      </c>
      <c r="H123" s="177"/>
      <c r="I123" s="194">
        <f>+B123*2</f>
        <v>0</v>
      </c>
      <c r="J123" s="178"/>
    </row>
    <row r="124" spans="1:10" hidden="1">
      <c r="A124">
        <f>+'input sheet'!A29</f>
        <v>0</v>
      </c>
      <c r="B124" s="82"/>
      <c r="C124" s="53"/>
      <c r="D124" s="53"/>
      <c r="E124" s="53"/>
      <c r="F124" s="7"/>
      <c r="G124" s="7"/>
      <c r="H124" s="7"/>
      <c r="I124" s="172"/>
      <c r="J124" s="64"/>
    </row>
    <row r="125" spans="1:10" hidden="1">
      <c r="B125" s="63">
        <f>+A124*2</f>
        <v>0</v>
      </c>
      <c r="C125" s="7">
        <f>+$C$3</f>
        <v>720</v>
      </c>
      <c r="D125" s="7">
        <f>+$C$4</f>
        <v>560</v>
      </c>
      <c r="E125" s="7">
        <v>1</v>
      </c>
      <c r="F125" s="202"/>
      <c r="G125" s="7" t="str">
        <f t="shared" ref="G125:G240" si="36">+F$2</f>
        <v>tbc</v>
      </c>
      <c r="H125" s="7" t="str">
        <f t="shared" si="30"/>
        <v>white</v>
      </c>
      <c r="I125" s="172"/>
      <c r="J125" s="64" t="s">
        <v>34</v>
      </c>
    </row>
    <row r="126" spans="1:10" hidden="1">
      <c r="B126" s="63">
        <f>+A124*1</f>
        <v>0</v>
      </c>
      <c r="C126" s="7">
        <f>+A123-32</f>
        <v>1168</v>
      </c>
      <c r="D126" s="7">
        <f>+$C$4</f>
        <v>560</v>
      </c>
      <c r="E126" s="7">
        <v>1</v>
      </c>
      <c r="F126" s="202"/>
      <c r="G126" s="7" t="str">
        <f t="shared" si="36"/>
        <v>tbc</v>
      </c>
      <c r="H126" s="7" t="str">
        <f t="shared" si="30"/>
        <v>white</v>
      </c>
      <c r="I126" s="172"/>
      <c r="J126" s="64" t="s">
        <v>44</v>
      </c>
    </row>
    <row r="127" spans="1:10" hidden="1">
      <c r="B127" s="63">
        <f>+A124*1</f>
        <v>0</v>
      </c>
      <c r="C127" s="7">
        <f>+A123-32</f>
        <v>1168</v>
      </c>
      <c r="D127" s="7">
        <f>+C$4-26</f>
        <v>534</v>
      </c>
      <c r="E127" s="7">
        <v>1</v>
      </c>
      <c r="F127" s="202"/>
      <c r="G127" s="7" t="str">
        <f t="shared" si="36"/>
        <v>tbc</v>
      </c>
      <c r="H127" s="7" t="str">
        <f t="shared" ref="H127" si="37">+F$1</f>
        <v>white</v>
      </c>
      <c r="I127" s="172"/>
      <c r="J127" s="64" t="s">
        <v>55</v>
      </c>
    </row>
    <row r="128" spans="1:10" hidden="1">
      <c r="B128" s="63">
        <f>+A124*1</f>
        <v>0</v>
      </c>
      <c r="C128" s="7">
        <f>+A123-32</f>
        <v>1168</v>
      </c>
      <c r="D128" s="7">
        <v>125</v>
      </c>
      <c r="E128" s="7">
        <v>1</v>
      </c>
      <c r="F128" s="202"/>
      <c r="G128" s="7" t="str">
        <f t="shared" si="36"/>
        <v>tbc</v>
      </c>
      <c r="H128" s="7" t="str">
        <f t="shared" si="30"/>
        <v>white</v>
      </c>
      <c r="I128" s="172"/>
      <c r="J128" s="64" t="s">
        <v>45</v>
      </c>
    </row>
    <row r="129" spans="1:10" ht="15.75" hidden="1" thickBot="1">
      <c r="B129" s="70">
        <f>+A124*1</f>
        <v>0</v>
      </c>
      <c r="C129" s="50">
        <f>+$C$3-17</f>
        <v>703</v>
      </c>
      <c r="D129" s="50">
        <f>+A123-32</f>
        <v>1168</v>
      </c>
      <c r="E129" s="50"/>
      <c r="F129" s="203"/>
      <c r="G129" s="65" t="str">
        <f t="shared" si="36"/>
        <v>tbc</v>
      </c>
      <c r="H129" s="65" t="str">
        <f t="shared" si="30"/>
        <v>white</v>
      </c>
      <c r="I129" s="192"/>
      <c r="J129" s="66" t="s">
        <v>33</v>
      </c>
    </row>
    <row r="130" spans="1:10" ht="15.75" hidden="1" thickBot="1">
      <c r="A130" s="72">
        <f>+'input sheet'!B30</f>
        <v>1200</v>
      </c>
      <c r="B130" s="72">
        <f>+A131</f>
        <v>0</v>
      </c>
      <c r="C130" s="73" t="s">
        <v>4</v>
      </c>
      <c r="D130" s="76"/>
      <c r="E130" s="77">
        <v>2</v>
      </c>
      <c r="F130" s="177">
        <f>+(C132-3)-(C$1*35)</f>
        <v>717</v>
      </c>
      <c r="G130" s="173">
        <f>+A130/2-3</f>
        <v>597</v>
      </c>
      <c r="H130" s="177"/>
      <c r="I130" s="194">
        <f>+B130*2</f>
        <v>0</v>
      </c>
      <c r="J130" s="178"/>
    </row>
    <row r="131" spans="1:10" hidden="1">
      <c r="A131">
        <f>+'input sheet'!A30</f>
        <v>0</v>
      </c>
      <c r="B131" s="82"/>
      <c r="C131" s="53"/>
      <c r="D131" s="53"/>
      <c r="E131" s="53"/>
      <c r="F131" s="7"/>
      <c r="G131" s="7"/>
      <c r="H131" s="7"/>
      <c r="I131" s="172"/>
      <c r="J131" s="64"/>
    </row>
    <row r="132" spans="1:10" hidden="1">
      <c r="B132" s="63">
        <f>+A131*2</f>
        <v>0</v>
      </c>
      <c r="C132" s="7">
        <f>+$C$3</f>
        <v>720</v>
      </c>
      <c r="D132" s="7">
        <f>+$C$4</f>
        <v>560</v>
      </c>
      <c r="E132" s="7">
        <v>1</v>
      </c>
      <c r="F132" s="202"/>
      <c r="G132" s="7" t="str">
        <f t="shared" si="36"/>
        <v>tbc</v>
      </c>
      <c r="H132" s="7" t="str">
        <f t="shared" si="30"/>
        <v>white</v>
      </c>
      <c r="I132" s="172"/>
      <c r="J132" s="64" t="s">
        <v>34</v>
      </c>
    </row>
    <row r="133" spans="1:10" hidden="1">
      <c r="B133" s="63">
        <f>+A131*1</f>
        <v>0</v>
      </c>
      <c r="C133" s="7">
        <f>+A130-32</f>
        <v>1168</v>
      </c>
      <c r="D133" s="7">
        <f>+$C$4</f>
        <v>560</v>
      </c>
      <c r="E133" s="7">
        <v>1</v>
      </c>
      <c r="F133" s="202"/>
      <c r="G133" s="7" t="str">
        <f t="shared" si="36"/>
        <v>tbc</v>
      </c>
      <c r="H133" s="7" t="str">
        <f t="shared" si="30"/>
        <v>white</v>
      </c>
      <c r="I133" s="172"/>
      <c r="J133" s="64" t="s">
        <v>44</v>
      </c>
    </row>
    <row r="134" spans="1:10" hidden="1">
      <c r="B134" s="63">
        <f>+A131*1</f>
        <v>0</v>
      </c>
      <c r="C134" s="7">
        <f>+A130-32</f>
        <v>1168</v>
      </c>
      <c r="D134" s="7">
        <f>+C$4-26</f>
        <v>534</v>
      </c>
      <c r="E134" s="7">
        <v>1</v>
      </c>
      <c r="F134" s="202"/>
      <c r="G134" s="7" t="str">
        <f t="shared" si="36"/>
        <v>tbc</v>
      </c>
      <c r="H134" s="7" t="str">
        <f t="shared" si="30"/>
        <v>white</v>
      </c>
      <c r="I134" s="172"/>
      <c r="J134" s="64" t="s">
        <v>55</v>
      </c>
    </row>
    <row r="135" spans="1:10" hidden="1">
      <c r="B135" s="63">
        <f>+A131*1</f>
        <v>0</v>
      </c>
      <c r="C135" s="7">
        <f>+A130-32</f>
        <v>1168</v>
      </c>
      <c r="D135" s="7">
        <v>125</v>
      </c>
      <c r="E135" s="7">
        <v>1</v>
      </c>
      <c r="F135" s="202"/>
      <c r="G135" s="7" t="str">
        <f t="shared" si="36"/>
        <v>tbc</v>
      </c>
      <c r="H135" s="7" t="str">
        <f t="shared" si="30"/>
        <v>white</v>
      </c>
      <c r="I135" s="172"/>
      <c r="J135" s="64" t="s">
        <v>45</v>
      </c>
    </row>
    <row r="136" spans="1:10" ht="15.75" hidden="1" thickBot="1">
      <c r="B136" s="70">
        <f>+A131*1</f>
        <v>0</v>
      </c>
      <c r="C136" s="50">
        <f>+$C$3-17</f>
        <v>703</v>
      </c>
      <c r="D136" s="50">
        <f>+A130-32</f>
        <v>1168</v>
      </c>
      <c r="E136" s="50"/>
      <c r="F136" s="203"/>
      <c r="G136" s="65" t="str">
        <f t="shared" si="36"/>
        <v>tbc</v>
      </c>
      <c r="H136" s="65" t="str">
        <f t="shared" si="30"/>
        <v>white</v>
      </c>
      <c r="I136" s="192"/>
      <c r="J136" s="66" t="s">
        <v>33</v>
      </c>
    </row>
    <row r="137" spans="1:10" ht="15.75" hidden="1" thickBot="1">
      <c r="A137" s="72">
        <f>+'input sheet'!B32</f>
        <v>300</v>
      </c>
      <c r="B137" s="72">
        <f>+A138</f>
        <v>0</v>
      </c>
      <c r="C137" s="73" t="s">
        <v>4</v>
      </c>
      <c r="D137" s="76"/>
      <c r="E137" s="77">
        <v>1</v>
      </c>
      <c r="F137" s="177">
        <f>+(C139-3)-(C$1*35)</f>
        <v>717</v>
      </c>
      <c r="G137" s="174">
        <f>+A137-3</f>
        <v>297</v>
      </c>
      <c r="H137" s="177"/>
      <c r="I137" s="194">
        <f>+B137*1</f>
        <v>0</v>
      </c>
      <c r="J137" s="178"/>
    </row>
    <row r="138" spans="1:10" hidden="1">
      <c r="A138">
        <f>+'input sheet'!A32</f>
        <v>0</v>
      </c>
      <c r="B138" s="82"/>
      <c r="C138" s="53"/>
      <c r="D138" s="53"/>
      <c r="E138" s="53"/>
      <c r="F138" s="7"/>
      <c r="G138" s="7"/>
      <c r="H138" s="7"/>
      <c r="I138" s="172"/>
      <c r="J138" s="64"/>
    </row>
    <row r="139" spans="1:10" hidden="1">
      <c r="B139" s="63">
        <f>+A138*2</f>
        <v>0</v>
      </c>
      <c r="C139" s="7">
        <f>+$C$3</f>
        <v>720</v>
      </c>
      <c r="D139" s="7">
        <f>+$C$4</f>
        <v>560</v>
      </c>
      <c r="E139" s="7">
        <v>1</v>
      </c>
      <c r="F139" s="202"/>
      <c r="G139" s="7" t="str">
        <f t="shared" si="36"/>
        <v>tbc</v>
      </c>
      <c r="H139" s="7" t="str">
        <f t="shared" si="30"/>
        <v>white</v>
      </c>
      <c r="I139" s="172"/>
      <c r="J139" s="64" t="s">
        <v>34</v>
      </c>
    </row>
    <row r="140" spans="1:10" hidden="1">
      <c r="B140" s="63">
        <f>+A138*1</f>
        <v>0</v>
      </c>
      <c r="C140" s="7">
        <f>+$C$4</f>
        <v>560</v>
      </c>
      <c r="D140" s="7">
        <f>+A137-32</f>
        <v>268</v>
      </c>
      <c r="E140" s="7"/>
      <c r="F140" s="202">
        <v>1</v>
      </c>
      <c r="G140" s="7" t="str">
        <f t="shared" si="36"/>
        <v>tbc</v>
      </c>
      <c r="H140" s="7" t="str">
        <f t="shared" si="30"/>
        <v>white</v>
      </c>
      <c r="I140" s="172"/>
      <c r="J140" s="64" t="s">
        <v>44</v>
      </c>
    </row>
    <row r="141" spans="1:10" hidden="1">
      <c r="B141" s="63">
        <f>+A138*1</f>
        <v>0</v>
      </c>
      <c r="C141" s="7">
        <f>+C$4-26</f>
        <v>534</v>
      </c>
      <c r="D141" s="7">
        <f>+A137-32</f>
        <v>268</v>
      </c>
      <c r="E141" s="7"/>
      <c r="F141" s="202">
        <v>1</v>
      </c>
      <c r="G141" s="7" t="str">
        <f t="shared" ref="G141" si="38">+F$2</f>
        <v>tbc</v>
      </c>
      <c r="H141" s="7" t="str">
        <f t="shared" ref="H141" si="39">+F$1</f>
        <v>white</v>
      </c>
      <c r="I141" s="172"/>
      <c r="J141" s="64" t="s">
        <v>55</v>
      </c>
    </row>
    <row r="142" spans="1:10" hidden="1">
      <c r="B142" s="63">
        <f>+A138*1</f>
        <v>0</v>
      </c>
      <c r="C142" s="7">
        <f>+A137-32</f>
        <v>268</v>
      </c>
      <c r="D142" s="7">
        <v>125</v>
      </c>
      <c r="E142" s="7">
        <v>1</v>
      </c>
      <c r="F142" s="202"/>
      <c r="G142" s="7" t="str">
        <f t="shared" si="36"/>
        <v>tbc</v>
      </c>
      <c r="H142" s="7" t="str">
        <f t="shared" si="30"/>
        <v>white</v>
      </c>
      <c r="I142" s="172"/>
      <c r="J142" s="64" t="s">
        <v>45</v>
      </c>
    </row>
    <row r="143" spans="1:10" ht="15.75" hidden="1" thickBot="1">
      <c r="B143" s="70">
        <f>+A138*1</f>
        <v>0</v>
      </c>
      <c r="C143" s="50">
        <f>+$C$3-17</f>
        <v>703</v>
      </c>
      <c r="D143" s="50">
        <f>+A137-32</f>
        <v>268</v>
      </c>
      <c r="E143" s="50"/>
      <c r="F143" s="203"/>
      <c r="G143" s="65" t="str">
        <f t="shared" si="36"/>
        <v>tbc</v>
      </c>
      <c r="H143" s="65" t="str">
        <f t="shared" si="30"/>
        <v>white</v>
      </c>
      <c r="I143" s="192"/>
      <c r="J143" s="66" t="s">
        <v>33</v>
      </c>
    </row>
    <row r="144" spans="1:10" ht="15.75" hidden="1" thickBot="1">
      <c r="A144" s="72">
        <f>+'input sheet'!B33</f>
        <v>450</v>
      </c>
      <c r="B144" s="83">
        <f>+A145</f>
        <v>0</v>
      </c>
      <c r="C144" s="73" t="s">
        <v>4</v>
      </c>
      <c r="D144" s="76"/>
      <c r="E144" s="77">
        <v>1</v>
      </c>
      <c r="F144" s="177">
        <f>+(C146-3)-(C$1*35)</f>
        <v>717</v>
      </c>
      <c r="G144" s="174">
        <f>+A144-3</f>
        <v>447</v>
      </c>
      <c r="H144" s="177"/>
      <c r="I144" s="194">
        <f>+B144*1</f>
        <v>0</v>
      </c>
      <c r="J144" s="200"/>
    </row>
    <row r="145" spans="1:10" hidden="1">
      <c r="A145">
        <f>+'input sheet'!A33</f>
        <v>0</v>
      </c>
      <c r="B145" s="52"/>
      <c r="C145" s="53"/>
      <c r="D145" s="53"/>
      <c r="E145" s="53"/>
      <c r="F145" s="4"/>
      <c r="G145" s="6"/>
      <c r="H145" s="6"/>
      <c r="I145" s="171"/>
      <c r="J145" s="3"/>
    </row>
    <row r="146" spans="1:10" hidden="1">
      <c r="B146" s="3">
        <f>+A145*2</f>
        <v>0</v>
      </c>
      <c r="C146" s="7">
        <f>+$C$3</f>
        <v>720</v>
      </c>
      <c r="D146" s="7">
        <f>+$C$4</f>
        <v>560</v>
      </c>
      <c r="E146" s="7">
        <v>1</v>
      </c>
      <c r="F146" s="202"/>
      <c r="G146" s="6" t="str">
        <f t="shared" si="36"/>
        <v>tbc</v>
      </c>
      <c r="H146" s="6" t="str">
        <f t="shared" si="30"/>
        <v>white</v>
      </c>
      <c r="I146" s="171"/>
      <c r="J146" s="3" t="s">
        <v>34</v>
      </c>
    </row>
    <row r="147" spans="1:10" hidden="1">
      <c r="B147" s="3">
        <f>+A145*1</f>
        <v>0</v>
      </c>
      <c r="C147" s="7">
        <f>+$C$4</f>
        <v>560</v>
      </c>
      <c r="D147" s="7">
        <f>+A144-32</f>
        <v>418</v>
      </c>
      <c r="E147" s="7"/>
      <c r="F147" s="202">
        <v>1</v>
      </c>
      <c r="G147" s="6" t="str">
        <f t="shared" si="36"/>
        <v>tbc</v>
      </c>
      <c r="H147" s="6" t="str">
        <f t="shared" si="30"/>
        <v>white</v>
      </c>
      <c r="I147" s="171"/>
      <c r="J147" s="3" t="s">
        <v>44</v>
      </c>
    </row>
    <row r="148" spans="1:10" hidden="1">
      <c r="B148" s="3">
        <f>+A145*1</f>
        <v>0</v>
      </c>
      <c r="C148" s="7">
        <f>+C$4-26</f>
        <v>534</v>
      </c>
      <c r="D148" s="7">
        <f>+A144-32</f>
        <v>418</v>
      </c>
      <c r="E148" s="7"/>
      <c r="F148" s="202">
        <v>1</v>
      </c>
      <c r="G148" s="7" t="str">
        <f t="shared" si="36"/>
        <v>tbc</v>
      </c>
      <c r="H148" s="7" t="str">
        <f t="shared" si="30"/>
        <v>white</v>
      </c>
      <c r="I148" s="171"/>
      <c r="J148" s="3" t="s">
        <v>55</v>
      </c>
    </row>
    <row r="149" spans="1:10" hidden="1">
      <c r="B149" s="3">
        <f>+A145*1</f>
        <v>0</v>
      </c>
      <c r="C149" s="7">
        <f>+A144-32</f>
        <v>418</v>
      </c>
      <c r="D149" s="7">
        <v>125</v>
      </c>
      <c r="E149" s="7">
        <v>1</v>
      </c>
      <c r="F149" s="202"/>
      <c r="G149" s="6" t="str">
        <f t="shared" si="36"/>
        <v>tbc</v>
      </c>
      <c r="H149" s="6" t="str">
        <f t="shared" si="30"/>
        <v>white</v>
      </c>
      <c r="I149" s="171"/>
      <c r="J149" s="3" t="s">
        <v>45</v>
      </c>
    </row>
    <row r="150" spans="1:10" hidden="1">
      <c r="B150" s="49">
        <f>+A145*1</f>
        <v>0</v>
      </c>
      <c r="C150" s="50">
        <f>+$C$3-17</f>
        <v>703</v>
      </c>
      <c r="D150" s="50">
        <f>+A144-32</f>
        <v>418</v>
      </c>
      <c r="E150" s="50"/>
      <c r="F150" s="202"/>
      <c r="G150" s="6" t="str">
        <f t="shared" si="36"/>
        <v>tbc</v>
      </c>
      <c r="H150" s="6" t="str">
        <f t="shared" si="30"/>
        <v>white</v>
      </c>
      <c r="I150" s="171"/>
      <c r="J150" s="3" t="s">
        <v>33</v>
      </c>
    </row>
    <row r="151" spans="1:10" ht="20.25" hidden="1" customHeight="1" thickBot="1">
      <c r="A151" s="75">
        <f>+'input sheet'!B34</f>
        <v>450</v>
      </c>
      <c r="B151" s="73">
        <f>+A152</f>
        <v>0</v>
      </c>
      <c r="C151" s="73" t="s">
        <v>4</v>
      </c>
      <c r="D151" s="73">
        <f>+'input sheet'!D34</f>
        <v>500</v>
      </c>
      <c r="E151" s="74" t="str">
        <f>+'input sheet'!C34</f>
        <v>4 draw st</v>
      </c>
      <c r="F151" s="177">
        <f>+C153/4-3</f>
        <v>177</v>
      </c>
      <c r="G151" s="174">
        <f>+A151-3</f>
        <v>447</v>
      </c>
      <c r="H151" s="60">
        <f>+B151*4</f>
        <v>0</v>
      </c>
      <c r="I151" s="60"/>
      <c r="J151" s="61"/>
    </row>
    <row r="152" spans="1:10" ht="20.25" hidden="1" customHeight="1">
      <c r="A152" s="84">
        <f>+'input sheet'!A34</f>
        <v>0</v>
      </c>
      <c r="B152" s="51"/>
      <c r="C152" s="53"/>
      <c r="D152" s="53"/>
      <c r="E152" s="53"/>
      <c r="F152" s="7"/>
      <c r="G152" s="7"/>
      <c r="H152" s="5"/>
      <c r="I152" s="5"/>
      <c r="J152" s="5"/>
    </row>
    <row r="153" spans="1:10" hidden="1">
      <c r="B153" s="3">
        <f>+A152*2</f>
        <v>0</v>
      </c>
      <c r="C153" s="7">
        <f>+$C$3</f>
        <v>720</v>
      </c>
      <c r="D153" s="7">
        <f>+$C$4</f>
        <v>560</v>
      </c>
      <c r="E153" s="7">
        <v>1</v>
      </c>
      <c r="F153" s="202"/>
      <c r="G153" s="7" t="str">
        <f t="shared" ref="G153:G159" si="40">+F$2</f>
        <v>tbc</v>
      </c>
      <c r="H153" s="7" t="str">
        <f>+F$1</f>
        <v>white</v>
      </c>
      <c r="I153" s="171"/>
      <c r="J153" s="3" t="s">
        <v>34</v>
      </c>
    </row>
    <row r="154" spans="1:10" hidden="1">
      <c r="B154" s="3">
        <f>+A152*1</f>
        <v>0</v>
      </c>
      <c r="C154" s="7">
        <f>+$C$4</f>
        <v>560</v>
      </c>
      <c r="D154" s="7">
        <f>+A151-32</f>
        <v>418</v>
      </c>
      <c r="E154" s="7"/>
      <c r="F154" s="202">
        <v>1</v>
      </c>
      <c r="G154" s="7" t="str">
        <f t="shared" si="40"/>
        <v>tbc</v>
      </c>
      <c r="H154" s="7" t="str">
        <f t="shared" ref="H154:H159" si="41">+F$1</f>
        <v>white</v>
      </c>
      <c r="I154" s="171"/>
      <c r="J154" s="3" t="s">
        <v>44</v>
      </c>
    </row>
    <row r="155" spans="1:10" hidden="1">
      <c r="B155" s="3">
        <f>+A152*1</f>
        <v>0</v>
      </c>
      <c r="C155" s="7">
        <f>+A151-32</f>
        <v>418</v>
      </c>
      <c r="D155" s="7">
        <v>125</v>
      </c>
      <c r="E155" s="7">
        <v>1</v>
      </c>
      <c r="F155" s="202"/>
      <c r="G155" s="7" t="str">
        <f t="shared" si="40"/>
        <v>tbc</v>
      </c>
      <c r="H155" s="7" t="str">
        <f t="shared" si="41"/>
        <v>white</v>
      </c>
      <c r="I155" s="171"/>
      <c r="J155" s="3" t="s">
        <v>45</v>
      </c>
    </row>
    <row r="156" spans="1:10" hidden="1">
      <c r="B156" s="3">
        <f>+A152*1</f>
        <v>0</v>
      </c>
      <c r="C156" s="7">
        <f>+$C$3-17</f>
        <v>703</v>
      </c>
      <c r="D156" s="7">
        <f>+A151-32</f>
        <v>418</v>
      </c>
      <c r="E156" s="7"/>
      <c r="F156" s="202"/>
      <c r="G156" s="7" t="str">
        <f t="shared" si="40"/>
        <v>tbc</v>
      </c>
      <c r="H156" s="7" t="str">
        <f t="shared" si="41"/>
        <v>white</v>
      </c>
      <c r="I156" s="171"/>
      <c r="J156" s="3" t="s">
        <v>33</v>
      </c>
    </row>
    <row r="157" spans="1:10" hidden="1">
      <c r="B157" s="3">
        <f>+A152*8</f>
        <v>0</v>
      </c>
      <c r="C157" s="7">
        <f>+A151-90</f>
        <v>360</v>
      </c>
      <c r="D157" s="7">
        <v>127</v>
      </c>
      <c r="E157" s="7">
        <v>1</v>
      </c>
      <c r="F157" s="202"/>
      <c r="G157" s="7" t="str">
        <f t="shared" si="40"/>
        <v>tbc</v>
      </c>
      <c r="H157" s="7" t="str">
        <f t="shared" si="41"/>
        <v>white</v>
      </c>
      <c r="I157" s="171"/>
      <c r="J157" s="3" t="s">
        <v>51</v>
      </c>
    </row>
    <row r="158" spans="1:10" hidden="1">
      <c r="B158" s="3">
        <f>+A152*4</f>
        <v>0</v>
      </c>
      <c r="C158" s="7">
        <f>+A151-90</f>
        <v>360</v>
      </c>
      <c r="D158" s="7">
        <f>+D151-32</f>
        <v>468</v>
      </c>
      <c r="E158" s="7"/>
      <c r="F158" s="202"/>
      <c r="G158" s="7" t="str">
        <f t="shared" si="40"/>
        <v>tbc</v>
      </c>
      <c r="H158" s="7" t="str">
        <f t="shared" si="41"/>
        <v>white</v>
      </c>
      <c r="I158" s="171"/>
      <c r="J158" s="3" t="s">
        <v>52</v>
      </c>
    </row>
    <row r="159" spans="1:10" hidden="1">
      <c r="B159" s="49">
        <f>A152*8</f>
        <v>0</v>
      </c>
      <c r="C159" s="50">
        <f>+D151</f>
        <v>500</v>
      </c>
      <c r="D159" s="50">
        <v>127</v>
      </c>
      <c r="E159" s="50">
        <v>1</v>
      </c>
      <c r="F159" s="202"/>
      <c r="G159" s="7" t="str">
        <f t="shared" si="40"/>
        <v>tbc</v>
      </c>
      <c r="H159" s="7" t="str">
        <f t="shared" si="41"/>
        <v>white</v>
      </c>
      <c r="I159" s="171"/>
      <c r="J159" s="3" t="s">
        <v>53</v>
      </c>
    </row>
    <row r="160" spans="1:10" ht="20.25" hidden="1" customHeight="1" thickBot="1">
      <c r="A160" s="75">
        <f>+'input sheet'!B35</f>
        <v>450</v>
      </c>
      <c r="B160" s="83">
        <f>+A161</f>
        <v>0</v>
      </c>
      <c r="C160" s="73" t="s">
        <v>4</v>
      </c>
      <c r="D160" s="73">
        <f>+'input sheet'!D35</f>
        <v>500</v>
      </c>
      <c r="E160" s="74" t="str">
        <f>+'input sheet'!C35</f>
        <v>3 draw st</v>
      </c>
      <c r="F160" s="177">
        <v>177</v>
      </c>
      <c r="G160" s="161">
        <v>356</v>
      </c>
      <c r="H160" s="162">
        <f>+A160-3</f>
        <v>447</v>
      </c>
      <c r="I160" s="194">
        <f>+B160*2</f>
        <v>0</v>
      </c>
      <c r="J160" s="178">
        <f>+B160*1</f>
        <v>0</v>
      </c>
    </row>
    <row r="161" spans="1:10" ht="20.25" hidden="1" customHeight="1">
      <c r="A161" s="84">
        <f>+'input sheet'!A35</f>
        <v>0</v>
      </c>
      <c r="B161" s="51"/>
      <c r="C161" s="53"/>
      <c r="D161" s="53"/>
      <c r="E161" s="53"/>
      <c r="F161" s="7"/>
      <c r="G161" s="7"/>
      <c r="H161" s="5"/>
      <c r="I161" s="5"/>
      <c r="J161" s="5"/>
    </row>
    <row r="162" spans="1:10" hidden="1">
      <c r="B162" s="3">
        <f>+A161*2</f>
        <v>0</v>
      </c>
      <c r="C162" s="7">
        <f>+$C$3</f>
        <v>720</v>
      </c>
      <c r="D162" s="7">
        <f>+$C$4</f>
        <v>560</v>
      </c>
      <c r="E162" s="7">
        <v>1</v>
      </c>
      <c r="F162" s="202"/>
      <c r="G162" s="7" t="str">
        <f t="shared" ref="G162:G170" si="42">+F$2</f>
        <v>tbc</v>
      </c>
      <c r="H162" s="7" t="str">
        <f>+F$1</f>
        <v>white</v>
      </c>
      <c r="I162" s="171"/>
      <c r="J162" s="3" t="s">
        <v>34</v>
      </c>
    </row>
    <row r="163" spans="1:10" hidden="1">
      <c r="B163" s="3">
        <f>+A161*1</f>
        <v>0</v>
      </c>
      <c r="C163" s="7">
        <f>+$C$4</f>
        <v>560</v>
      </c>
      <c r="D163" s="7">
        <f>+A160-32</f>
        <v>418</v>
      </c>
      <c r="E163" s="7"/>
      <c r="F163" s="202">
        <v>1</v>
      </c>
      <c r="G163" s="7" t="str">
        <f t="shared" si="42"/>
        <v>tbc</v>
      </c>
      <c r="H163" s="7" t="str">
        <f t="shared" ref="H163:H170" si="43">+F$1</f>
        <v>white</v>
      </c>
      <c r="I163" s="171"/>
      <c r="J163" s="3" t="s">
        <v>44</v>
      </c>
    </row>
    <row r="164" spans="1:10" hidden="1">
      <c r="B164" s="3">
        <f>+A161*1</f>
        <v>0</v>
      </c>
      <c r="C164" s="7">
        <f>+A160-32</f>
        <v>418</v>
      </c>
      <c r="D164" s="7">
        <v>125</v>
      </c>
      <c r="E164" s="7">
        <v>1</v>
      </c>
      <c r="F164" s="202"/>
      <c r="G164" s="7" t="str">
        <f t="shared" si="42"/>
        <v>tbc</v>
      </c>
      <c r="H164" s="7" t="str">
        <f t="shared" si="43"/>
        <v>white</v>
      </c>
      <c r="I164" s="171"/>
      <c r="J164" s="3" t="s">
        <v>45</v>
      </c>
    </row>
    <row r="165" spans="1:10" hidden="1">
      <c r="B165" s="3">
        <f>+A161*1</f>
        <v>0</v>
      </c>
      <c r="C165" s="7">
        <f>+$C$3-17</f>
        <v>703</v>
      </c>
      <c r="D165" s="7">
        <f>+A160-32</f>
        <v>418</v>
      </c>
      <c r="E165" s="7"/>
      <c r="F165" s="202"/>
      <c r="G165" s="7" t="str">
        <f t="shared" si="42"/>
        <v>tbc</v>
      </c>
      <c r="H165" s="7" t="str">
        <f t="shared" si="43"/>
        <v>white</v>
      </c>
      <c r="I165" s="171"/>
      <c r="J165" s="3" t="s">
        <v>33</v>
      </c>
    </row>
    <row r="166" spans="1:10" hidden="1">
      <c r="B166" s="3">
        <f>+A161*4</f>
        <v>0</v>
      </c>
      <c r="C166" s="7">
        <f>+A160-90</f>
        <v>360</v>
      </c>
      <c r="D166" s="7">
        <v>127</v>
      </c>
      <c r="E166" s="7">
        <v>1</v>
      </c>
      <c r="F166" s="202"/>
      <c r="G166" s="7" t="str">
        <f t="shared" si="42"/>
        <v>tbc</v>
      </c>
      <c r="H166" s="7" t="str">
        <f t="shared" si="43"/>
        <v>white</v>
      </c>
      <c r="I166" s="171"/>
      <c r="J166" s="3" t="s">
        <v>51</v>
      </c>
    </row>
    <row r="167" spans="1:10" hidden="1">
      <c r="B167" s="3">
        <f>+A161*2</f>
        <v>0</v>
      </c>
      <c r="C167" s="7">
        <f>+A160-90</f>
        <v>360</v>
      </c>
      <c r="D167" s="7">
        <v>240</v>
      </c>
      <c r="E167" s="7">
        <v>1</v>
      </c>
      <c r="F167" s="202"/>
      <c r="G167" s="7" t="str">
        <f t="shared" si="42"/>
        <v>tbc</v>
      </c>
      <c r="H167" s="7" t="str">
        <f t="shared" si="43"/>
        <v>white</v>
      </c>
      <c r="I167" s="171"/>
      <c r="J167" s="3" t="s">
        <v>51</v>
      </c>
    </row>
    <row r="168" spans="1:10" hidden="1">
      <c r="B168" s="3">
        <f>+A161*3</f>
        <v>0</v>
      </c>
      <c r="C168" s="7">
        <f>+A160-90</f>
        <v>360</v>
      </c>
      <c r="D168" s="7">
        <f>+D160-32</f>
        <v>468</v>
      </c>
      <c r="E168" s="7"/>
      <c r="F168" s="202"/>
      <c r="G168" s="7" t="str">
        <f t="shared" si="42"/>
        <v>tbc</v>
      </c>
      <c r="H168" s="7" t="str">
        <f t="shared" si="43"/>
        <v>white</v>
      </c>
      <c r="I168" s="171"/>
      <c r="J168" s="3" t="s">
        <v>52</v>
      </c>
    </row>
    <row r="169" spans="1:10" hidden="1">
      <c r="B169" s="3">
        <f>+A161*2</f>
        <v>0</v>
      </c>
      <c r="C169" s="7">
        <f>+D160</f>
        <v>500</v>
      </c>
      <c r="D169" s="7">
        <v>240</v>
      </c>
      <c r="E169" s="7">
        <v>1</v>
      </c>
      <c r="F169" s="202"/>
      <c r="G169" s="7" t="str">
        <f t="shared" si="42"/>
        <v>tbc</v>
      </c>
      <c r="H169" s="7" t="str">
        <f t="shared" si="43"/>
        <v>white</v>
      </c>
      <c r="I169" s="171"/>
      <c r="J169" s="3" t="s">
        <v>53</v>
      </c>
    </row>
    <row r="170" spans="1:10" hidden="1">
      <c r="B170" s="49">
        <f>+A161*4</f>
        <v>0</v>
      </c>
      <c r="C170" s="50">
        <f>+D160</f>
        <v>500</v>
      </c>
      <c r="D170" s="50">
        <v>127</v>
      </c>
      <c r="E170" s="50">
        <v>1</v>
      </c>
      <c r="F170" s="202"/>
      <c r="G170" s="7" t="str">
        <f t="shared" si="42"/>
        <v>tbc</v>
      </c>
      <c r="H170" s="7" t="str">
        <f t="shared" si="43"/>
        <v>white</v>
      </c>
      <c r="I170" s="171"/>
      <c r="J170" s="3" t="s">
        <v>53</v>
      </c>
    </row>
    <row r="171" spans="1:10" ht="20.25" hidden="1" customHeight="1" thickBot="1">
      <c r="A171" s="75">
        <f>+'input sheet'!B36</f>
        <v>450</v>
      </c>
      <c r="B171" s="83">
        <f>+A172</f>
        <v>0</v>
      </c>
      <c r="C171" s="73" t="s">
        <v>4</v>
      </c>
      <c r="D171" s="73">
        <f>+'input sheet'!D36</f>
        <v>500</v>
      </c>
      <c r="E171" s="74" t="str">
        <f>+'input sheet'!C36</f>
        <v>bin</v>
      </c>
      <c r="F171" s="177">
        <f>+(C173-3)-(C$1*35)</f>
        <v>717</v>
      </c>
      <c r="G171" s="174">
        <f>+A171-3</f>
        <v>447</v>
      </c>
      <c r="H171" s="177"/>
      <c r="I171" s="194">
        <f>+B171*1</f>
        <v>0</v>
      </c>
      <c r="J171" s="200"/>
    </row>
    <row r="172" spans="1:10" ht="20.25" hidden="1" customHeight="1">
      <c r="A172" s="84">
        <f>+'input sheet'!A36</f>
        <v>0</v>
      </c>
      <c r="B172" s="51"/>
      <c r="C172" s="53"/>
      <c r="D172" s="53"/>
      <c r="E172" s="53"/>
      <c r="F172" s="118"/>
      <c r="G172" s="118"/>
      <c r="H172" s="5"/>
      <c r="I172" s="5"/>
      <c r="J172" s="5"/>
    </row>
    <row r="173" spans="1:10" hidden="1">
      <c r="B173" s="3">
        <f>+A172*2</f>
        <v>0</v>
      </c>
      <c r="C173" s="118">
        <f>+$C$3</f>
        <v>720</v>
      </c>
      <c r="D173" s="118">
        <f>+$C$4</f>
        <v>560</v>
      </c>
      <c r="E173" s="118">
        <v>1</v>
      </c>
      <c r="F173" s="202"/>
      <c r="G173" s="118" t="str">
        <f t="shared" ref="G173:G179" si="44">+F$2</f>
        <v>tbc</v>
      </c>
      <c r="H173" s="118" t="str">
        <f>+F$1</f>
        <v>white</v>
      </c>
      <c r="I173" s="171"/>
      <c r="J173" s="3" t="s">
        <v>34</v>
      </c>
    </row>
    <row r="174" spans="1:10" hidden="1">
      <c r="B174" s="3">
        <f>+A172*1</f>
        <v>0</v>
      </c>
      <c r="C174" s="118">
        <f>+$C$4</f>
        <v>560</v>
      </c>
      <c r="D174" s="118">
        <f>+A171-32</f>
        <v>418</v>
      </c>
      <c r="E174" s="118"/>
      <c r="F174" s="202">
        <v>1</v>
      </c>
      <c r="G174" s="118" t="str">
        <f t="shared" si="44"/>
        <v>tbc</v>
      </c>
      <c r="H174" s="118" t="str">
        <f t="shared" ref="H174:H179" si="45">+F$1</f>
        <v>white</v>
      </c>
      <c r="I174" s="171"/>
      <c r="J174" s="3" t="s">
        <v>44</v>
      </c>
    </row>
    <row r="175" spans="1:10" hidden="1">
      <c r="B175" s="3">
        <f>+A172*1</f>
        <v>0</v>
      </c>
      <c r="C175" s="118">
        <f>+A171-32</f>
        <v>418</v>
      </c>
      <c r="D175" s="118">
        <v>125</v>
      </c>
      <c r="E175" s="118">
        <v>1</v>
      </c>
      <c r="F175" s="202"/>
      <c r="G175" s="118" t="str">
        <f t="shared" si="44"/>
        <v>tbc</v>
      </c>
      <c r="H175" s="118" t="str">
        <f t="shared" si="45"/>
        <v>white</v>
      </c>
      <c r="I175" s="171"/>
      <c r="J175" s="3" t="s">
        <v>45</v>
      </c>
    </row>
    <row r="176" spans="1:10" hidden="1">
      <c r="B176" s="3">
        <f>+A172*1</f>
        <v>0</v>
      </c>
      <c r="C176" s="118">
        <f>+$C$3-17</f>
        <v>703</v>
      </c>
      <c r="D176" s="118">
        <f>+A171-32</f>
        <v>418</v>
      </c>
      <c r="E176" s="118"/>
      <c r="F176" s="202"/>
      <c r="G176" s="118" t="str">
        <f t="shared" si="44"/>
        <v>tbc</v>
      </c>
      <c r="H176" s="118" t="str">
        <f t="shared" si="45"/>
        <v>white</v>
      </c>
      <c r="I176" s="171"/>
      <c r="J176" s="3" t="s">
        <v>33</v>
      </c>
    </row>
    <row r="177" spans="1:10" hidden="1">
      <c r="B177" s="3">
        <f>+A172*2</f>
        <v>0</v>
      </c>
      <c r="C177" s="118">
        <v>400</v>
      </c>
      <c r="D177" s="118">
        <f>+A171-90</f>
        <v>360</v>
      </c>
      <c r="E177" s="118">
        <v>2</v>
      </c>
      <c r="F177" s="202">
        <v>1</v>
      </c>
      <c r="G177" s="118" t="str">
        <f t="shared" si="44"/>
        <v>tbc</v>
      </c>
      <c r="H177" s="118" t="str">
        <f t="shared" si="45"/>
        <v>white</v>
      </c>
      <c r="I177" s="171"/>
      <c r="J177" s="3" t="s">
        <v>51</v>
      </c>
    </row>
    <row r="178" spans="1:10" hidden="1">
      <c r="B178" s="3">
        <f>+A172*1</f>
        <v>0</v>
      </c>
      <c r="C178" s="118">
        <f>+A171-90</f>
        <v>360</v>
      </c>
      <c r="D178" s="118">
        <f>+D171-32</f>
        <v>468</v>
      </c>
      <c r="E178" s="118"/>
      <c r="F178" s="202"/>
      <c r="G178" s="118" t="str">
        <f t="shared" si="44"/>
        <v>tbc</v>
      </c>
      <c r="H178" s="118" t="str">
        <f t="shared" si="45"/>
        <v>white</v>
      </c>
      <c r="I178" s="171"/>
      <c r="J178" s="3" t="s">
        <v>52</v>
      </c>
    </row>
    <row r="179" spans="1:10" hidden="1">
      <c r="B179" s="3">
        <f>+A172*2</f>
        <v>0</v>
      </c>
      <c r="C179" s="118">
        <f>+D171</f>
        <v>500</v>
      </c>
      <c r="D179" s="118">
        <v>240</v>
      </c>
      <c r="E179" s="118">
        <v>1</v>
      </c>
      <c r="F179" s="202"/>
      <c r="G179" s="118" t="str">
        <f t="shared" si="44"/>
        <v>tbc</v>
      </c>
      <c r="H179" s="118" t="str">
        <f t="shared" si="45"/>
        <v>white</v>
      </c>
      <c r="I179" s="171"/>
      <c r="J179" s="3" t="s">
        <v>53</v>
      </c>
    </row>
    <row r="180" spans="1:10" ht="15.75" hidden="1" thickBot="1">
      <c r="A180" s="72">
        <f>+'input sheet'!B37</f>
        <v>200</v>
      </c>
      <c r="B180" s="73">
        <f>+A181</f>
        <v>0</v>
      </c>
      <c r="C180" s="73" t="s">
        <v>4</v>
      </c>
      <c r="D180" s="76"/>
      <c r="E180" s="77">
        <v>1</v>
      </c>
      <c r="F180" s="177">
        <f>+(C182-3)-(C$1*35)</f>
        <v>717</v>
      </c>
      <c r="G180" s="174">
        <f>+A180-3</f>
        <v>197</v>
      </c>
      <c r="H180" s="177"/>
      <c r="I180" s="194">
        <f>+B180*1</f>
        <v>0</v>
      </c>
      <c r="J180" s="200"/>
    </row>
    <row r="181" spans="1:10" hidden="1">
      <c r="A181">
        <f>+'input sheet'!A37</f>
        <v>0</v>
      </c>
      <c r="B181" s="52"/>
      <c r="C181" s="53"/>
      <c r="D181" s="53"/>
      <c r="E181" s="53"/>
      <c r="F181" s="4"/>
      <c r="G181" s="6"/>
      <c r="H181" s="6"/>
      <c r="I181" s="171"/>
      <c r="J181" s="3"/>
    </row>
    <row r="182" spans="1:10" hidden="1">
      <c r="B182" s="3">
        <f>+A181*2</f>
        <v>0</v>
      </c>
      <c r="C182" s="7">
        <f>+$C$3</f>
        <v>720</v>
      </c>
      <c r="D182" s="7">
        <f>+$C$4</f>
        <v>560</v>
      </c>
      <c r="E182" s="7">
        <v>1</v>
      </c>
      <c r="F182" s="202"/>
      <c r="G182" s="6" t="str">
        <f t="shared" si="36"/>
        <v>tbc</v>
      </c>
      <c r="H182" s="6" t="str">
        <f t="shared" si="30"/>
        <v>white</v>
      </c>
      <c r="I182" s="171"/>
      <c r="J182" s="3" t="s">
        <v>34</v>
      </c>
    </row>
    <row r="183" spans="1:10" hidden="1">
      <c r="B183" s="3">
        <f>+A181*1</f>
        <v>0</v>
      </c>
      <c r="C183" s="7">
        <f>+$C$4</f>
        <v>560</v>
      </c>
      <c r="D183" s="7">
        <f>+A180-32</f>
        <v>168</v>
      </c>
      <c r="E183" s="7"/>
      <c r="F183" s="202">
        <v>1</v>
      </c>
      <c r="G183" s="6" t="str">
        <f t="shared" si="36"/>
        <v>tbc</v>
      </c>
      <c r="H183" s="6" t="str">
        <f t="shared" si="30"/>
        <v>white</v>
      </c>
      <c r="I183" s="171"/>
      <c r="J183" s="3" t="s">
        <v>44</v>
      </c>
    </row>
    <row r="184" spans="1:10" hidden="1">
      <c r="B184" s="3">
        <f>+A181*1</f>
        <v>0</v>
      </c>
      <c r="C184" s="7">
        <f>+C$4-26</f>
        <v>534</v>
      </c>
      <c r="D184" s="7">
        <f>+A180-32</f>
        <v>168</v>
      </c>
      <c r="E184" s="7"/>
      <c r="F184" s="202">
        <v>1</v>
      </c>
      <c r="G184" s="7" t="str">
        <f t="shared" ref="G184" si="46">+F$2</f>
        <v>tbc</v>
      </c>
      <c r="H184" s="7" t="str">
        <f t="shared" ref="H184" si="47">+F$1</f>
        <v>white</v>
      </c>
      <c r="I184" s="171"/>
      <c r="J184" s="3" t="s">
        <v>55</v>
      </c>
    </row>
    <row r="185" spans="1:10" hidden="1">
      <c r="B185" s="3">
        <f>+A181*1</f>
        <v>0</v>
      </c>
      <c r="C185" s="7">
        <f>+A180-32</f>
        <v>168</v>
      </c>
      <c r="D185" s="7">
        <v>125</v>
      </c>
      <c r="E185" s="7">
        <v>1</v>
      </c>
      <c r="F185" s="202"/>
      <c r="G185" s="6" t="str">
        <f t="shared" si="36"/>
        <v>tbc</v>
      </c>
      <c r="H185" s="6" t="str">
        <f t="shared" si="30"/>
        <v>white</v>
      </c>
      <c r="I185" s="171"/>
      <c r="J185" s="3" t="s">
        <v>45</v>
      </c>
    </row>
    <row r="186" spans="1:10" hidden="1">
      <c r="B186" s="49">
        <f>+A181*1</f>
        <v>0</v>
      </c>
      <c r="C186" s="50">
        <f>+$C$3-17</f>
        <v>703</v>
      </c>
      <c r="D186" s="50">
        <f>+A180-32</f>
        <v>168</v>
      </c>
      <c r="E186" s="50"/>
      <c r="F186" s="202"/>
      <c r="G186" s="6" t="str">
        <f t="shared" si="36"/>
        <v>tbc</v>
      </c>
      <c r="H186" s="6" t="str">
        <f t="shared" si="30"/>
        <v>white</v>
      </c>
      <c r="I186" s="171"/>
      <c r="J186" s="3" t="s">
        <v>33</v>
      </c>
    </row>
    <row r="187" spans="1:10" ht="15.75" hidden="1" thickBot="1">
      <c r="A187" s="72">
        <f>+'input sheet'!B38</f>
        <v>150</v>
      </c>
      <c r="B187" s="83">
        <f>+A188</f>
        <v>0</v>
      </c>
      <c r="C187" s="73" t="s">
        <v>4</v>
      </c>
      <c r="D187" s="76"/>
      <c r="E187" s="77">
        <v>1</v>
      </c>
      <c r="F187" s="177">
        <f>+(C189-3)-(C$1*35)</f>
        <v>717</v>
      </c>
      <c r="G187" s="174">
        <f>+A187-3</f>
        <v>147</v>
      </c>
      <c r="H187" s="177"/>
      <c r="I187" s="194">
        <f>+B187*1</f>
        <v>0</v>
      </c>
      <c r="J187" s="200"/>
    </row>
    <row r="188" spans="1:10" hidden="1">
      <c r="A188">
        <f>+'input sheet'!A38</f>
        <v>0</v>
      </c>
      <c r="B188" s="52"/>
      <c r="C188" s="53"/>
      <c r="D188" s="53"/>
      <c r="E188" s="53"/>
      <c r="F188" s="4"/>
      <c r="G188" s="6"/>
      <c r="H188" s="6"/>
      <c r="I188" s="171"/>
      <c r="J188" s="3"/>
    </row>
    <row r="189" spans="1:10" hidden="1">
      <c r="B189" s="3">
        <f>+A188*2</f>
        <v>0</v>
      </c>
      <c r="C189" s="7">
        <f>+$C$3</f>
        <v>720</v>
      </c>
      <c r="D189" s="7">
        <f>+$C$4</f>
        <v>560</v>
      </c>
      <c r="E189" s="7">
        <v>1</v>
      </c>
      <c r="F189" s="202"/>
      <c r="G189" s="6" t="str">
        <f t="shared" si="36"/>
        <v>tbc</v>
      </c>
      <c r="H189" s="6" t="str">
        <f t="shared" si="30"/>
        <v>white</v>
      </c>
      <c r="I189" s="171"/>
      <c r="J189" s="3" t="s">
        <v>34</v>
      </c>
    </row>
    <row r="190" spans="1:10" hidden="1">
      <c r="B190" s="3">
        <f>+A188*1</f>
        <v>0</v>
      </c>
      <c r="C190" s="7">
        <f>+$C$4</f>
        <v>560</v>
      </c>
      <c r="D190" s="7">
        <f>+A187-32</f>
        <v>118</v>
      </c>
      <c r="E190" s="7"/>
      <c r="F190" s="202">
        <v>1</v>
      </c>
      <c r="G190" s="6" t="str">
        <f t="shared" si="36"/>
        <v>tbc</v>
      </c>
      <c r="H190" s="6" t="str">
        <f t="shared" si="30"/>
        <v>white</v>
      </c>
      <c r="I190" s="171"/>
      <c r="J190" s="3" t="s">
        <v>44</v>
      </c>
    </row>
    <row r="191" spans="1:10" hidden="1">
      <c r="B191" s="3">
        <f>+A188*1</f>
        <v>0</v>
      </c>
      <c r="C191" s="7">
        <f>+C$4-26</f>
        <v>534</v>
      </c>
      <c r="D191" s="7">
        <f>+A187-32</f>
        <v>118</v>
      </c>
      <c r="E191" s="7"/>
      <c r="F191" s="202">
        <v>1</v>
      </c>
      <c r="G191" s="7" t="str">
        <f t="shared" si="36"/>
        <v>tbc</v>
      </c>
      <c r="H191" s="7" t="str">
        <f t="shared" si="30"/>
        <v>white</v>
      </c>
      <c r="I191" s="171"/>
      <c r="J191" s="3" t="s">
        <v>55</v>
      </c>
    </row>
    <row r="192" spans="1:10" hidden="1">
      <c r="B192" s="3">
        <f>+A188*1</f>
        <v>0</v>
      </c>
      <c r="C192" s="7">
        <f>+A187-32</f>
        <v>118</v>
      </c>
      <c r="D192" s="7">
        <v>100</v>
      </c>
      <c r="E192" s="7">
        <v>1</v>
      </c>
      <c r="F192" s="202"/>
      <c r="G192" s="6" t="str">
        <f t="shared" si="36"/>
        <v>tbc</v>
      </c>
      <c r="H192" s="6" t="str">
        <f t="shared" si="30"/>
        <v>white</v>
      </c>
      <c r="I192" s="171"/>
      <c r="J192" s="3" t="s">
        <v>45</v>
      </c>
    </row>
    <row r="193" spans="1:10" hidden="1">
      <c r="B193" s="49">
        <f>+A188*1</f>
        <v>0</v>
      </c>
      <c r="C193" s="50">
        <f>+$C$3-17</f>
        <v>703</v>
      </c>
      <c r="D193" s="50">
        <f>+A187-32</f>
        <v>118</v>
      </c>
      <c r="E193" s="50"/>
      <c r="F193" s="202"/>
      <c r="G193" s="6" t="str">
        <f t="shared" si="36"/>
        <v>tbc</v>
      </c>
      <c r="H193" s="6" t="str">
        <f t="shared" si="30"/>
        <v>white</v>
      </c>
      <c r="I193" s="171"/>
      <c r="J193" s="3" t="s">
        <v>33</v>
      </c>
    </row>
    <row r="194" spans="1:10" ht="15.75" hidden="1" thickBot="1">
      <c r="A194" s="86">
        <f>+'input sheet'!B40</f>
        <v>900</v>
      </c>
      <c r="B194" s="87">
        <f>+A195</f>
        <v>0</v>
      </c>
      <c r="C194" s="88" t="s">
        <v>38</v>
      </c>
      <c r="D194" s="88"/>
      <c r="E194" s="89"/>
      <c r="F194" s="207">
        <f>+C196-3</f>
        <v>1077</v>
      </c>
      <c r="G194" s="208">
        <f>+A194/2-3</f>
        <v>447</v>
      </c>
      <c r="H194" s="208"/>
      <c r="I194" s="208">
        <f>+B194*2</f>
        <v>0</v>
      </c>
      <c r="J194" s="209"/>
    </row>
    <row r="195" spans="1:10" hidden="1">
      <c r="A195">
        <f>+'input sheet'!A40</f>
        <v>0</v>
      </c>
      <c r="B195" s="52"/>
      <c r="C195" s="53"/>
      <c r="D195" s="53"/>
      <c r="E195" s="53"/>
      <c r="F195" s="4"/>
      <c r="G195" s="6"/>
      <c r="H195" s="6"/>
      <c r="I195" s="171"/>
      <c r="J195" s="3"/>
    </row>
    <row r="196" spans="1:10" hidden="1">
      <c r="B196" s="3">
        <f>+A195*2</f>
        <v>0</v>
      </c>
      <c r="C196" s="7">
        <f>+$C$5</f>
        <v>1080</v>
      </c>
      <c r="D196" s="253">
        <f>+$C$7</f>
        <v>300</v>
      </c>
      <c r="E196" s="7">
        <v>1</v>
      </c>
      <c r="F196" s="4">
        <v>1</v>
      </c>
      <c r="G196" s="6" t="str">
        <f t="shared" si="36"/>
        <v>tbc</v>
      </c>
      <c r="H196" s="6" t="str">
        <f t="shared" si="30"/>
        <v>white</v>
      </c>
      <c r="I196" s="171"/>
      <c r="J196" s="3" t="s">
        <v>34</v>
      </c>
    </row>
    <row r="197" spans="1:10" hidden="1">
      <c r="B197" s="3">
        <f>+A195*2</f>
        <v>0</v>
      </c>
      <c r="C197" s="7">
        <f>+A194-32</f>
        <v>868</v>
      </c>
      <c r="D197" s="253">
        <f>+$C$7</f>
        <v>300</v>
      </c>
      <c r="E197" s="7">
        <v>1</v>
      </c>
      <c r="F197" s="4"/>
      <c r="G197" s="6" t="str">
        <f t="shared" si="36"/>
        <v>tbc</v>
      </c>
      <c r="H197" s="6" t="str">
        <f t="shared" si="30"/>
        <v>white</v>
      </c>
      <c r="I197" s="171"/>
      <c r="J197" s="3" t="s">
        <v>32</v>
      </c>
    </row>
    <row r="198" spans="1:10" hidden="1">
      <c r="B198" s="3">
        <f>+A195*1</f>
        <v>0</v>
      </c>
      <c r="C198" s="7">
        <f>+$C$5-33</f>
        <v>1047</v>
      </c>
      <c r="D198" s="7">
        <f>+A194-32</f>
        <v>868</v>
      </c>
      <c r="E198" s="7"/>
      <c r="F198" s="4"/>
      <c r="G198" s="6" t="str">
        <f t="shared" si="36"/>
        <v>tbc</v>
      </c>
      <c r="H198" s="6" t="str">
        <f t="shared" si="30"/>
        <v>white</v>
      </c>
      <c r="I198" s="171"/>
      <c r="J198" s="3" t="s">
        <v>33</v>
      </c>
    </row>
    <row r="199" spans="1:10" hidden="1">
      <c r="B199" s="49">
        <f>+A195*2</f>
        <v>0</v>
      </c>
      <c r="C199" s="50">
        <f>+A194-32</f>
        <v>868</v>
      </c>
      <c r="D199" s="50">
        <f>+D197-20</f>
        <v>280</v>
      </c>
      <c r="E199" s="50">
        <v>1</v>
      </c>
      <c r="F199" s="4"/>
      <c r="G199" s="6" t="str">
        <f t="shared" si="36"/>
        <v>tbc</v>
      </c>
      <c r="H199" s="6" t="str">
        <f t="shared" si="30"/>
        <v>white</v>
      </c>
      <c r="I199" s="171"/>
      <c r="J199" s="3" t="s">
        <v>57</v>
      </c>
    </row>
    <row r="200" spans="1:10" ht="15.75" hidden="1" thickBot="1">
      <c r="A200" s="86">
        <f>+'input sheet'!B41</f>
        <v>745</v>
      </c>
      <c r="B200" s="87">
        <f>+A201</f>
        <v>0</v>
      </c>
      <c r="C200" s="88" t="s">
        <v>38</v>
      </c>
      <c r="D200" s="88"/>
      <c r="E200" s="89"/>
      <c r="F200" s="207">
        <f>+C202-3</f>
        <v>1077</v>
      </c>
      <c r="G200" s="208">
        <f>+A200/2-3</f>
        <v>369.5</v>
      </c>
      <c r="H200" s="208"/>
      <c r="I200" s="208">
        <f>+B200*2</f>
        <v>0</v>
      </c>
      <c r="J200" s="209"/>
    </row>
    <row r="201" spans="1:10" hidden="1">
      <c r="A201">
        <f>+'input sheet'!A41</f>
        <v>0</v>
      </c>
      <c r="B201" s="52"/>
      <c r="C201" s="53"/>
      <c r="D201" s="53"/>
      <c r="E201" s="53"/>
      <c r="F201" s="4"/>
      <c r="G201" s="6"/>
      <c r="H201" s="6"/>
      <c r="I201" s="171"/>
      <c r="J201" s="3"/>
    </row>
    <row r="202" spans="1:10" hidden="1">
      <c r="B202" s="3">
        <f>+A201*2</f>
        <v>0</v>
      </c>
      <c r="C202" s="7">
        <f>+$C$5</f>
        <v>1080</v>
      </c>
      <c r="D202" s="7">
        <f>+$C$7</f>
        <v>300</v>
      </c>
      <c r="E202" s="7">
        <v>1</v>
      </c>
      <c r="F202" s="4">
        <v>1</v>
      </c>
      <c r="G202" s="6" t="str">
        <f t="shared" si="36"/>
        <v>tbc</v>
      </c>
      <c r="H202" s="6" t="str">
        <f t="shared" si="30"/>
        <v>white</v>
      </c>
      <c r="I202" s="171"/>
      <c r="J202" s="3" t="s">
        <v>34</v>
      </c>
    </row>
    <row r="203" spans="1:10" hidden="1">
      <c r="B203" s="3">
        <f>+A201*2</f>
        <v>0</v>
      </c>
      <c r="C203" s="7">
        <f>+A200-32</f>
        <v>713</v>
      </c>
      <c r="D203" s="7">
        <f>+$C$7</f>
        <v>300</v>
      </c>
      <c r="E203" s="7">
        <v>1</v>
      </c>
      <c r="F203" s="4"/>
      <c r="G203" s="6" t="str">
        <f t="shared" si="36"/>
        <v>tbc</v>
      </c>
      <c r="H203" s="6" t="str">
        <f t="shared" si="30"/>
        <v>white</v>
      </c>
      <c r="I203" s="171"/>
      <c r="J203" s="3" t="s">
        <v>32</v>
      </c>
    </row>
    <row r="204" spans="1:10" hidden="1">
      <c r="B204" s="3">
        <f>+A201*1</f>
        <v>0</v>
      </c>
      <c r="C204" s="7">
        <f>+$C$5-33</f>
        <v>1047</v>
      </c>
      <c r="D204" s="7">
        <f>+A200-32</f>
        <v>713</v>
      </c>
      <c r="E204" s="7"/>
      <c r="F204" s="4"/>
      <c r="G204" s="6" t="str">
        <f t="shared" si="36"/>
        <v>tbc</v>
      </c>
      <c r="H204" s="6" t="str">
        <f t="shared" si="30"/>
        <v>white</v>
      </c>
      <c r="I204" s="171"/>
      <c r="J204" s="3" t="s">
        <v>33</v>
      </c>
    </row>
    <row r="205" spans="1:10" hidden="1">
      <c r="B205" s="49">
        <f>+A201*2</f>
        <v>0</v>
      </c>
      <c r="C205" s="50">
        <f>+A200-32</f>
        <v>713</v>
      </c>
      <c r="D205" s="50">
        <f>+$C$7-26</f>
        <v>274</v>
      </c>
      <c r="E205" s="50">
        <v>1</v>
      </c>
      <c r="F205" s="4"/>
      <c r="G205" s="6" t="str">
        <f t="shared" si="36"/>
        <v>tbc</v>
      </c>
      <c r="H205" s="6" t="str">
        <f t="shared" si="30"/>
        <v>white</v>
      </c>
      <c r="I205" s="171"/>
      <c r="J205" s="3" t="s">
        <v>57</v>
      </c>
    </row>
    <row r="206" spans="1:10" ht="15.75" hidden="1" thickBot="1">
      <c r="A206" s="86">
        <f>+'input sheet'!B42</f>
        <v>600</v>
      </c>
      <c r="B206" s="87">
        <f>+A207</f>
        <v>0</v>
      </c>
      <c r="C206" s="88" t="s">
        <v>38</v>
      </c>
      <c r="D206" s="88">
        <v>600</v>
      </c>
      <c r="E206" s="89" t="s">
        <v>41</v>
      </c>
      <c r="F206" s="207">
        <f>+C208-3</f>
        <v>1077</v>
      </c>
      <c r="G206" s="208">
        <f>+C209-289</f>
        <v>279</v>
      </c>
      <c r="H206" s="208">
        <f>+D209-289</f>
        <v>279</v>
      </c>
      <c r="I206" s="208">
        <f>+B206*1</f>
        <v>0</v>
      </c>
      <c r="J206" s="209"/>
    </row>
    <row r="207" spans="1:10" hidden="1">
      <c r="A207">
        <f>+'input sheet'!A42</f>
        <v>0</v>
      </c>
      <c r="B207" s="52"/>
      <c r="C207" s="53"/>
      <c r="D207" s="53"/>
      <c r="E207" s="53"/>
      <c r="F207" s="119"/>
      <c r="G207" s="119"/>
      <c r="H207" s="119"/>
      <c r="I207" s="171"/>
      <c r="J207" s="3"/>
    </row>
    <row r="208" spans="1:10" hidden="1">
      <c r="B208" s="3">
        <f>+A207*2</f>
        <v>0</v>
      </c>
      <c r="C208" s="119">
        <f>+$C$5</f>
        <v>1080</v>
      </c>
      <c r="D208" s="119">
        <f>+$C$7</f>
        <v>300</v>
      </c>
      <c r="E208" s="119">
        <v>1</v>
      </c>
      <c r="F208" s="119">
        <v>1</v>
      </c>
      <c r="G208" s="119" t="str">
        <f t="shared" ref="G208:G211" si="48">+F$2</f>
        <v>tbc</v>
      </c>
      <c r="H208" s="119" t="str">
        <f t="shared" ref="H208:H211" si="49">+F$1</f>
        <v>white</v>
      </c>
      <c r="I208" s="171"/>
      <c r="J208" s="3" t="s">
        <v>34</v>
      </c>
    </row>
    <row r="209" spans="1:10" hidden="1">
      <c r="B209" s="3">
        <f>+A207*4</f>
        <v>0</v>
      </c>
      <c r="C209" s="119">
        <f>+A206-32</f>
        <v>568</v>
      </c>
      <c r="D209" s="119">
        <f>+D206-32</f>
        <v>568</v>
      </c>
      <c r="E209" s="119">
        <v>1</v>
      </c>
      <c r="F209" s="119"/>
      <c r="G209" s="119" t="str">
        <f t="shared" si="48"/>
        <v>tbc</v>
      </c>
      <c r="H209" s="119" t="str">
        <f t="shared" si="49"/>
        <v>white</v>
      </c>
      <c r="I209" s="171"/>
      <c r="J209" s="3" t="s">
        <v>32</v>
      </c>
    </row>
    <row r="210" spans="1:10" hidden="1">
      <c r="B210" s="3">
        <f>+A207*1</f>
        <v>0</v>
      </c>
      <c r="C210" s="119">
        <f>+C208</f>
        <v>1080</v>
      </c>
      <c r="D210" s="119">
        <v>119</v>
      </c>
      <c r="E210" s="119">
        <v>2</v>
      </c>
      <c r="F210" s="119">
        <v>2</v>
      </c>
      <c r="G210" s="119" t="str">
        <f t="shared" si="48"/>
        <v>tbc</v>
      </c>
      <c r="H210" s="119" t="str">
        <f t="shared" si="49"/>
        <v>white</v>
      </c>
      <c r="I210" s="171"/>
      <c r="J210" s="3" t="s">
        <v>33</v>
      </c>
    </row>
    <row r="211" spans="1:10" hidden="1">
      <c r="B211" s="49">
        <f>+A207*2</f>
        <v>0</v>
      </c>
      <c r="C211" s="50">
        <f>+C210</f>
        <v>1080</v>
      </c>
      <c r="D211" s="50">
        <f>+A206-116</f>
        <v>484</v>
      </c>
      <c r="E211" s="50">
        <v>1</v>
      </c>
      <c r="F211" s="119">
        <v>1</v>
      </c>
      <c r="G211" s="119" t="str">
        <f t="shared" si="48"/>
        <v>tbc</v>
      </c>
      <c r="H211" s="119" t="str">
        <f t="shared" si="49"/>
        <v>white</v>
      </c>
      <c r="I211" s="171"/>
      <c r="J211" s="3" t="s">
        <v>57</v>
      </c>
    </row>
    <row r="212" spans="1:10" ht="15.75" hidden="1" thickBot="1">
      <c r="A212" s="86">
        <f>+'input sheet'!B43</f>
        <v>484</v>
      </c>
      <c r="B212" s="87">
        <f>+A213</f>
        <v>0</v>
      </c>
      <c r="C212" s="88" t="s">
        <v>38</v>
      </c>
      <c r="D212" s="88"/>
      <c r="E212" s="89"/>
      <c r="F212" s="207">
        <f>+C214-3</f>
        <v>1077</v>
      </c>
      <c r="G212" s="208">
        <f>+A212-3</f>
        <v>481</v>
      </c>
      <c r="H212" s="208"/>
      <c r="I212" s="208">
        <f>+B212*1</f>
        <v>0</v>
      </c>
      <c r="J212" s="209"/>
    </row>
    <row r="213" spans="1:10" hidden="1">
      <c r="A213">
        <f>+'input sheet'!A43</f>
        <v>0</v>
      </c>
      <c r="B213" s="52"/>
      <c r="C213" s="53"/>
      <c r="D213" s="53"/>
      <c r="E213" s="53"/>
      <c r="F213" s="4"/>
      <c r="G213" s="6"/>
      <c r="H213" s="6"/>
      <c r="I213" s="171"/>
      <c r="J213" s="3"/>
    </row>
    <row r="214" spans="1:10" hidden="1">
      <c r="B214" s="3">
        <f>+A213*2</f>
        <v>0</v>
      </c>
      <c r="C214" s="7">
        <f>+$C$5</f>
        <v>1080</v>
      </c>
      <c r="D214" s="7">
        <f>+$C$7</f>
        <v>300</v>
      </c>
      <c r="E214" s="7">
        <v>1</v>
      </c>
      <c r="F214" s="4">
        <v>1</v>
      </c>
      <c r="G214" s="6" t="str">
        <f t="shared" si="36"/>
        <v>tbc</v>
      </c>
      <c r="H214" s="6" t="str">
        <f t="shared" ref="H214:H302" si="50">+F$1</f>
        <v>white</v>
      </c>
      <c r="I214" s="171"/>
      <c r="J214" s="3" t="s">
        <v>34</v>
      </c>
    </row>
    <row r="215" spans="1:10" hidden="1">
      <c r="B215" s="3">
        <f>+A213*2</f>
        <v>0</v>
      </c>
      <c r="C215" s="7">
        <f>+A212-32</f>
        <v>452</v>
      </c>
      <c r="D215" s="7">
        <f>+$C$7</f>
        <v>300</v>
      </c>
      <c r="E215" s="7">
        <v>1</v>
      </c>
      <c r="F215" s="4"/>
      <c r="G215" s="6" t="str">
        <f t="shared" si="36"/>
        <v>tbc</v>
      </c>
      <c r="H215" s="6" t="str">
        <f t="shared" si="50"/>
        <v>white</v>
      </c>
      <c r="I215" s="171"/>
      <c r="J215" s="3" t="s">
        <v>32</v>
      </c>
    </row>
    <row r="216" spans="1:10" hidden="1">
      <c r="B216" s="3">
        <f>+A213*1</f>
        <v>0</v>
      </c>
      <c r="C216" s="7">
        <f>+$C$5-33</f>
        <v>1047</v>
      </c>
      <c r="D216" s="7">
        <f>+A212-32</f>
        <v>452</v>
      </c>
      <c r="E216" s="7"/>
      <c r="F216" s="4"/>
      <c r="G216" s="6" t="str">
        <f t="shared" si="36"/>
        <v>tbc</v>
      </c>
      <c r="H216" s="6" t="str">
        <f t="shared" si="50"/>
        <v>white</v>
      </c>
      <c r="I216" s="171"/>
      <c r="J216" s="3" t="s">
        <v>33</v>
      </c>
    </row>
    <row r="217" spans="1:10" hidden="1">
      <c r="B217" s="49">
        <f>+A213*2</f>
        <v>0</v>
      </c>
      <c r="C217" s="50">
        <f>+A212-32</f>
        <v>452</v>
      </c>
      <c r="D217" s="50">
        <f>+$C$7-26</f>
        <v>274</v>
      </c>
      <c r="E217" s="50">
        <v>1</v>
      </c>
      <c r="F217" s="4"/>
      <c r="G217" s="6" t="str">
        <f t="shared" si="36"/>
        <v>tbc</v>
      </c>
      <c r="H217" s="6" t="str">
        <f t="shared" si="50"/>
        <v>white</v>
      </c>
      <c r="I217" s="171"/>
      <c r="J217" s="3" t="s">
        <v>57</v>
      </c>
    </row>
    <row r="218" spans="1:10" ht="15.75" hidden="1" thickBot="1">
      <c r="A218" s="86">
        <f>+'input sheet'!B44</f>
        <v>464</v>
      </c>
      <c r="B218" s="87">
        <f>+A219</f>
        <v>0</v>
      </c>
      <c r="C218" s="88" t="s">
        <v>38</v>
      </c>
      <c r="D218" s="88"/>
      <c r="E218" s="89"/>
      <c r="F218" s="207">
        <f>+C220-3</f>
        <v>1077</v>
      </c>
      <c r="G218" s="208">
        <f>+A218-3</f>
        <v>461</v>
      </c>
      <c r="H218" s="208"/>
      <c r="I218" s="208">
        <f>+B218*1</f>
        <v>0</v>
      </c>
      <c r="J218" s="209"/>
    </row>
    <row r="219" spans="1:10" hidden="1">
      <c r="A219">
        <f>+'input sheet'!A44</f>
        <v>0</v>
      </c>
      <c r="B219" s="52"/>
      <c r="C219" s="53"/>
      <c r="D219" s="53"/>
      <c r="E219" s="53"/>
      <c r="F219" s="4"/>
      <c r="G219" s="6"/>
      <c r="H219" s="6"/>
      <c r="I219" s="171"/>
      <c r="J219" s="3"/>
    </row>
    <row r="220" spans="1:10" hidden="1">
      <c r="B220" s="3">
        <f>+A219*2</f>
        <v>0</v>
      </c>
      <c r="C220" s="7">
        <f>+$C$5</f>
        <v>1080</v>
      </c>
      <c r="D220" s="7">
        <f>+$C$7</f>
        <v>300</v>
      </c>
      <c r="E220" s="7">
        <v>1</v>
      </c>
      <c r="F220" s="4">
        <v>1</v>
      </c>
      <c r="G220" s="6" t="str">
        <f t="shared" si="36"/>
        <v>tbc</v>
      </c>
      <c r="H220" s="6" t="str">
        <f t="shared" si="50"/>
        <v>white</v>
      </c>
      <c r="I220" s="171"/>
      <c r="J220" s="3" t="s">
        <v>34</v>
      </c>
    </row>
    <row r="221" spans="1:10" hidden="1">
      <c r="B221" s="3">
        <f>+A219*2</f>
        <v>0</v>
      </c>
      <c r="C221" s="7">
        <f>+A218-32</f>
        <v>432</v>
      </c>
      <c r="D221" s="7">
        <f>+$C$7</f>
        <v>300</v>
      </c>
      <c r="E221" s="7">
        <v>1</v>
      </c>
      <c r="F221" s="4"/>
      <c r="G221" s="6" t="str">
        <f t="shared" si="36"/>
        <v>tbc</v>
      </c>
      <c r="H221" s="6" t="str">
        <f t="shared" si="50"/>
        <v>white</v>
      </c>
      <c r="I221" s="171"/>
      <c r="J221" s="3" t="s">
        <v>32</v>
      </c>
    </row>
    <row r="222" spans="1:10" hidden="1">
      <c r="B222" s="3">
        <f>+A219*1</f>
        <v>0</v>
      </c>
      <c r="C222" s="7">
        <f>+$C$5-33</f>
        <v>1047</v>
      </c>
      <c r="D222" s="7">
        <f>+A218-32</f>
        <v>432</v>
      </c>
      <c r="E222" s="7"/>
      <c r="F222" s="4"/>
      <c r="G222" s="6" t="str">
        <f t="shared" si="36"/>
        <v>tbc</v>
      </c>
      <c r="H222" s="6" t="str">
        <f t="shared" si="50"/>
        <v>white</v>
      </c>
      <c r="I222" s="171"/>
      <c r="J222" s="3" t="s">
        <v>33</v>
      </c>
    </row>
    <row r="223" spans="1:10" hidden="1">
      <c r="B223" s="3">
        <f>+A219*2</f>
        <v>0</v>
      </c>
      <c r="C223" s="210">
        <f>+A218-32</f>
        <v>432</v>
      </c>
      <c r="D223" s="210">
        <f>+$C$7-26</f>
        <v>274</v>
      </c>
      <c r="E223" s="210">
        <v>1</v>
      </c>
      <c r="F223" s="4"/>
      <c r="G223" s="6" t="str">
        <f t="shared" si="36"/>
        <v>tbc</v>
      </c>
      <c r="H223" s="6" t="str">
        <f t="shared" si="50"/>
        <v>white</v>
      </c>
      <c r="I223" s="171"/>
      <c r="J223" s="3" t="s">
        <v>57</v>
      </c>
    </row>
    <row r="224" spans="1:10" ht="15.75" hidden="1" thickBot="1">
      <c r="A224" s="86">
        <f>+'input sheet'!B45</f>
        <v>500</v>
      </c>
      <c r="B224" s="211">
        <f>+A225</f>
        <v>0</v>
      </c>
      <c r="C224" s="212" t="s">
        <v>38</v>
      </c>
      <c r="D224" s="212"/>
      <c r="E224" s="213"/>
      <c r="F224" s="207">
        <f>+C226-3</f>
        <v>1077</v>
      </c>
      <c r="G224" s="208">
        <f>+A224-3</f>
        <v>497</v>
      </c>
      <c r="H224" s="208"/>
      <c r="I224" s="208">
        <f>+B224*1</f>
        <v>0</v>
      </c>
      <c r="J224" s="209"/>
    </row>
    <row r="225" spans="1:10" hidden="1">
      <c r="A225">
        <f>+'input sheet'!A45</f>
        <v>0</v>
      </c>
      <c r="B225" s="52"/>
      <c r="C225" s="53"/>
      <c r="D225" s="53"/>
      <c r="E225" s="53"/>
      <c r="F225" s="118"/>
      <c r="G225" s="118"/>
      <c r="H225" s="118"/>
      <c r="I225" s="171"/>
      <c r="J225" s="3"/>
    </row>
    <row r="226" spans="1:10" hidden="1">
      <c r="B226" s="3">
        <f>+A225*2</f>
        <v>0</v>
      </c>
      <c r="C226" s="118">
        <f>+$C$5</f>
        <v>1080</v>
      </c>
      <c r="D226" s="118">
        <f>+'input sheet'!C45</f>
        <v>450</v>
      </c>
      <c r="E226" s="118">
        <v>1</v>
      </c>
      <c r="F226" s="118">
        <v>1</v>
      </c>
      <c r="G226" s="118" t="str">
        <f t="shared" ref="G226:G229" si="51">+F$2</f>
        <v>tbc</v>
      </c>
      <c r="H226" s="118" t="str">
        <f t="shared" ref="H226:H229" si="52">+F$1</f>
        <v>white</v>
      </c>
      <c r="I226" s="171"/>
      <c r="J226" s="3" t="s">
        <v>34</v>
      </c>
    </row>
    <row r="227" spans="1:10" hidden="1">
      <c r="B227" s="3">
        <f>+A225*2</f>
        <v>0</v>
      </c>
      <c r="C227" s="118">
        <f>+A224-32</f>
        <v>468</v>
      </c>
      <c r="D227" s="118">
        <f>+'input sheet'!C45</f>
        <v>450</v>
      </c>
      <c r="E227" s="118">
        <v>1</v>
      </c>
      <c r="F227" s="118"/>
      <c r="G227" s="118" t="str">
        <f t="shared" si="51"/>
        <v>tbc</v>
      </c>
      <c r="H227" s="118" t="str">
        <f t="shared" si="52"/>
        <v>white</v>
      </c>
      <c r="I227" s="171"/>
      <c r="J227" s="3" t="s">
        <v>32</v>
      </c>
    </row>
    <row r="228" spans="1:10" hidden="1">
      <c r="B228" s="3">
        <f>+A225*1</f>
        <v>0</v>
      </c>
      <c r="C228" s="118">
        <f>+$C$5-33</f>
        <v>1047</v>
      </c>
      <c r="D228" s="118">
        <f>+A224-32</f>
        <v>468</v>
      </c>
      <c r="E228" s="118"/>
      <c r="F228" s="118"/>
      <c r="G228" s="118" t="str">
        <f t="shared" si="51"/>
        <v>tbc</v>
      </c>
      <c r="H228" s="118" t="str">
        <f t="shared" si="52"/>
        <v>white</v>
      </c>
      <c r="I228" s="171"/>
      <c r="J228" s="3" t="s">
        <v>33</v>
      </c>
    </row>
    <row r="229" spans="1:10" hidden="1">
      <c r="B229" s="49">
        <f>+A225*2</f>
        <v>0</v>
      </c>
      <c r="C229" s="50">
        <f>+A224-32</f>
        <v>468</v>
      </c>
      <c r="D229" s="50">
        <f>+D227-26</f>
        <v>424</v>
      </c>
      <c r="E229" s="50">
        <v>1</v>
      </c>
      <c r="F229" s="118"/>
      <c r="G229" s="118" t="str">
        <f t="shared" si="51"/>
        <v>tbc</v>
      </c>
      <c r="H229" s="118" t="str">
        <f t="shared" si="52"/>
        <v>white</v>
      </c>
      <c r="I229" s="171"/>
      <c r="J229" s="3" t="s">
        <v>57</v>
      </c>
    </row>
    <row r="230" spans="1:10" ht="15.75" hidden="1" thickBot="1">
      <c r="A230" s="86">
        <f>+'input sheet'!B46</f>
        <v>600</v>
      </c>
      <c r="B230" s="87">
        <f>+A231</f>
        <v>0</v>
      </c>
      <c r="C230" s="88" t="s">
        <v>144</v>
      </c>
      <c r="D230" s="88"/>
      <c r="E230" s="89"/>
      <c r="F230" s="276"/>
      <c r="G230" s="277"/>
      <c r="H230" s="277"/>
      <c r="I230" s="277"/>
      <c r="J230" s="275"/>
    </row>
    <row r="231" spans="1:10" hidden="1">
      <c r="A231">
        <f>+'input sheet'!A46</f>
        <v>0</v>
      </c>
      <c r="B231" s="52"/>
      <c r="C231" s="53"/>
      <c r="D231" s="53"/>
      <c r="E231" s="53"/>
      <c r="F231" s="118"/>
      <c r="G231" s="118"/>
      <c r="H231" s="118"/>
      <c r="I231" s="171"/>
      <c r="J231" s="3"/>
    </row>
    <row r="232" spans="1:10" hidden="1">
      <c r="B232" s="3">
        <f>+A231*2</f>
        <v>0</v>
      </c>
      <c r="C232" s="118">
        <f>+'input sheet'!D46</f>
        <v>360</v>
      </c>
      <c r="D232" s="118">
        <f>+'input sheet'!C46</f>
        <v>300</v>
      </c>
      <c r="E232" s="118">
        <v>1</v>
      </c>
      <c r="F232" s="118">
        <v>1</v>
      </c>
      <c r="G232" s="118" t="str">
        <f t="shared" ref="G232:G234" si="53">+F$2</f>
        <v>tbc</v>
      </c>
      <c r="H232" s="118" t="str">
        <f t="shared" ref="H232:H234" si="54">+F$1</f>
        <v>white</v>
      </c>
      <c r="I232" s="171"/>
      <c r="J232" s="3" t="s">
        <v>34</v>
      </c>
    </row>
    <row r="233" spans="1:10" hidden="1">
      <c r="B233" s="3">
        <f>+A231*2</f>
        <v>0</v>
      </c>
      <c r="C233" s="118">
        <f>+A230-32</f>
        <v>568</v>
      </c>
      <c r="D233" s="118">
        <f>+'input sheet'!C46</f>
        <v>300</v>
      </c>
      <c r="E233" s="118">
        <v>1</v>
      </c>
      <c r="F233" s="118"/>
      <c r="G233" s="118" t="str">
        <f t="shared" si="53"/>
        <v>tbc</v>
      </c>
      <c r="H233" s="118" t="str">
        <f t="shared" si="54"/>
        <v>white</v>
      </c>
      <c r="I233" s="171"/>
      <c r="J233" s="3" t="s">
        <v>32</v>
      </c>
    </row>
    <row r="234" spans="1:10" hidden="1">
      <c r="B234" s="3">
        <f>+A231*1</f>
        <v>0</v>
      </c>
      <c r="C234" s="118">
        <f>+C232-32</f>
        <v>328</v>
      </c>
      <c r="D234" s="118">
        <f>+A230-32</f>
        <v>568</v>
      </c>
      <c r="E234" s="118"/>
      <c r="F234" s="118"/>
      <c r="G234" s="118" t="str">
        <f t="shared" si="53"/>
        <v>tbc</v>
      </c>
      <c r="H234" s="118" t="str">
        <f t="shared" si="54"/>
        <v>white</v>
      </c>
      <c r="I234" s="171"/>
      <c r="J234" s="3" t="s">
        <v>33</v>
      </c>
    </row>
    <row r="235" spans="1:10" ht="15.75" hidden="1" thickBot="1">
      <c r="A235" s="86">
        <f>+'input sheet'!B48</f>
        <v>300</v>
      </c>
      <c r="B235" s="87">
        <f>+A236</f>
        <v>0</v>
      </c>
      <c r="C235" s="88" t="s">
        <v>38</v>
      </c>
      <c r="D235" s="88"/>
      <c r="E235" s="89"/>
      <c r="F235" s="207">
        <f>+C237-3</f>
        <v>1077</v>
      </c>
      <c r="G235" s="208">
        <f>+A235-3</f>
        <v>297</v>
      </c>
      <c r="H235" s="208"/>
      <c r="I235" s="208">
        <f>+B235*1</f>
        <v>0</v>
      </c>
      <c r="J235" s="209"/>
    </row>
    <row r="236" spans="1:10" hidden="1">
      <c r="A236">
        <f>+'input sheet'!A48</f>
        <v>0</v>
      </c>
      <c r="B236" s="52"/>
      <c r="C236" s="53"/>
      <c r="D236" s="53"/>
      <c r="E236" s="53"/>
      <c r="F236" s="4"/>
      <c r="G236" s="6"/>
      <c r="H236" s="6"/>
      <c r="I236" s="171"/>
      <c r="J236" s="3"/>
    </row>
    <row r="237" spans="1:10" hidden="1">
      <c r="B237" s="3">
        <f>+A236*2</f>
        <v>0</v>
      </c>
      <c r="C237" s="7">
        <f>+$C$5</f>
        <v>1080</v>
      </c>
      <c r="D237" s="7">
        <f>+$C$7</f>
        <v>300</v>
      </c>
      <c r="E237" s="7">
        <v>1</v>
      </c>
      <c r="F237" s="4">
        <v>1</v>
      </c>
      <c r="G237" s="6" t="str">
        <f t="shared" si="36"/>
        <v>tbc</v>
      </c>
      <c r="H237" s="6" t="str">
        <f t="shared" si="50"/>
        <v>white</v>
      </c>
      <c r="I237" s="171"/>
      <c r="J237" s="3" t="s">
        <v>34</v>
      </c>
    </row>
    <row r="238" spans="1:10" hidden="1">
      <c r="B238" s="3">
        <f>+A236*2</f>
        <v>0</v>
      </c>
      <c r="C238" s="7">
        <f>+$C$7</f>
        <v>300</v>
      </c>
      <c r="D238" s="7">
        <f>+A235-32</f>
        <v>268</v>
      </c>
      <c r="E238" s="7"/>
      <c r="F238" s="4">
        <v>1</v>
      </c>
      <c r="G238" s="6" t="str">
        <f t="shared" si="36"/>
        <v>tbc</v>
      </c>
      <c r="H238" s="6" t="str">
        <f t="shared" si="50"/>
        <v>white</v>
      </c>
      <c r="I238" s="171"/>
      <c r="J238" s="3" t="s">
        <v>32</v>
      </c>
    </row>
    <row r="239" spans="1:10" hidden="1">
      <c r="B239" s="3">
        <f>+A236*1</f>
        <v>0</v>
      </c>
      <c r="C239" s="7">
        <f>+$C$5-33</f>
        <v>1047</v>
      </c>
      <c r="D239" s="7">
        <f>+A235-32</f>
        <v>268</v>
      </c>
      <c r="E239" s="7"/>
      <c r="F239" s="4"/>
      <c r="G239" s="6" t="str">
        <f t="shared" si="36"/>
        <v>tbc</v>
      </c>
      <c r="H239" s="6" t="str">
        <f t="shared" si="50"/>
        <v>white</v>
      </c>
      <c r="I239" s="171"/>
      <c r="J239" s="3" t="s">
        <v>33</v>
      </c>
    </row>
    <row r="240" spans="1:10" hidden="1">
      <c r="B240" s="49">
        <f>+A236*2</f>
        <v>0</v>
      </c>
      <c r="C240" s="50">
        <f>+$C$7-26</f>
        <v>274</v>
      </c>
      <c r="D240" s="50">
        <f>+A235-32</f>
        <v>268</v>
      </c>
      <c r="E240" s="50">
        <v>1</v>
      </c>
      <c r="F240" s="4"/>
      <c r="G240" s="6" t="str">
        <f t="shared" si="36"/>
        <v>tbc</v>
      </c>
      <c r="H240" s="6" t="str">
        <f t="shared" si="50"/>
        <v>white</v>
      </c>
      <c r="I240" s="171"/>
      <c r="J240" s="3" t="s">
        <v>57</v>
      </c>
    </row>
    <row r="241" spans="1:10" ht="15.75" hidden="1" thickBot="1">
      <c r="A241" s="86">
        <f>+'input sheet'!B49</f>
        <v>200</v>
      </c>
      <c r="B241" s="87">
        <f>+A242</f>
        <v>0</v>
      </c>
      <c r="C241" s="88" t="s">
        <v>38</v>
      </c>
      <c r="D241" s="88"/>
      <c r="E241" s="89"/>
      <c r="F241" s="207">
        <f>+C243-3</f>
        <v>1077</v>
      </c>
      <c r="G241" s="208">
        <f>+A241-3</f>
        <v>197</v>
      </c>
      <c r="H241" s="208"/>
      <c r="I241" s="208">
        <f>+B241*1</f>
        <v>0</v>
      </c>
      <c r="J241" s="209"/>
    </row>
    <row r="242" spans="1:10" hidden="1">
      <c r="A242">
        <f>+'input sheet'!A49</f>
        <v>0</v>
      </c>
      <c r="B242" s="52"/>
      <c r="C242" s="53"/>
      <c r="D242" s="53"/>
      <c r="E242" s="53"/>
      <c r="F242" s="4"/>
      <c r="G242" s="6"/>
      <c r="H242" s="6"/>
      <c r="I242" s="171"/>
      <c r="J242" s="3"/>
    </row>
    <row r="243" spans="1:10" hidden="1">
      <c r="B243" s="3">
        <f>+A242*2</f>
        <v>0</v>
      </c>
      <c r="C243" s="7">
        <f>+$C$5</f>
        <v>1080</v>
      </c>
      <c r="D243" s="7">
        <f>+$C$7</f>
        <v>300</v>
      </c>
      <c r="E243" s="7">
        <v>1</v>
      </c>
      <c r="F243" s="4">
        <v>1</v>
      </c>
      <c r="G243" s="6" t="str">
        <f t="shared" ref="G243:G310" si="55">+F$2</f>
        <v>tbc</v>
      </c>
      <c r="H243" s="6" t="str">
        <f t="shared" si="50"/>
        <v>white</v>
      </c>
      <c r="I243" s="171"/>
      <c r="J243" s="3" t="s">
        <v>34</v>
      </c>
    </row>
    <row r="244" spans="1:10" hidden="1">
      <c r="B244" s="3">
        <f>+A242*2</f>
        <v>0</v>
      </c>
      <c r="C244" s="7">
        <f>+$C$7</f>
        <v>300</v>
      </c>
      <c r="D244" s="7">
        <f>+A241-32</f>
        <v>168</v>
      </c>
      <c r="E244" s="7"/>
      <c r="F244" s="4">
        <v>1</v>
      </c>
      <c r="G244" s="6" t="str">
        <f t="shared" si="55"/>
        <v>tbc</v>
      </c>
      <c r="H244" s="6" t="str">
        <f t="shared" si="50"/>
        <v>white</v>
      </c>
      <c r="I244" s="171"/>
      <c r="J244" s="3" t="s">
        <v>32</v>
      </c>
    </row>
    <row r="245" spans="1:10" hidden="1">
      <c r="B245" s="3">
        <f>+A242*1</f>
        <v>0</v>
      </c>
      <c r="C245" s="7">
        <f>+$C$5-33</f>
        <v>1047</v>
      </c>
      <c r="D245" s="7">
        <f>+A241-32</f>
        <v>168</v>
      </c>
      <c r="E245" s="7"/>
      <c r="F245" s="4"/>
      <c r="G245" s="6" t="str">
        <f t="shared" si="55"/>
        <v>tbc</v>
      </c>
      <c r="H245" s="6" t="str">
        <f t="shared" si="50"/>
        <v>white</v>
      </c>
      <c r="I245" s="171"/>
      <c r="J245" s="3" t="s">
        <v>33</v>
      </c>
    </row>
    <row r="246" spans="1:10" hidden="1">
      <c r="B246" s="3">
        <f>+A242*2</f>
        <v>0</v>
      </c>
      <c r="C246" s="7">
        <f>+$C$7-26</f>
        <v>274</v>
      </c>
      <c r="D246" s="50">
        <f>+A241-32</f>
        <v>168</v>
      </c>
      <c r="E246" s="50"/>
      <c r="F246" s="4">
        <v>1</v>
      </c>
      <c r="G246" s="6" t="str">
        <f t="shared" si="55"/>
        <v>tbc</v>
      </c>
      <c r="H246" s="6" t="str">
        <f t="shared" si="50"/>
        <v>white</v>
      </c>
      <c r="I246" s="171"/>
      <c r="J246" s="3" t="s">
        <v>57</v>
      </c>
    </row>
    <row r="247" spans="1:10" ht="15.75" hidden="1" thickBot="1">
      <c r="A247">
        <f>+'input sheet'!B50</f>
        <v>100</v>
      </c>
      <c r="B247" s="54">
        <f>+A248</f>
        <v>0</v>
      </c>
      <c r="C247" s="90" t="s">
        <v>38</v>
      </c>
      <c r="D247" s="91"/>
      <c r="E247" s="89"/>
      <c r="F247" s="207">
        <f>+C249-3</f>
        <v>1077</v>
      </c>
      <c r="G247" s="208">
        <f>+A247-3</f>
        <v>97</v>
      </c>
      <c r="H247" s="208"/>
      <c r="I247" s="208">
        <f>+B247*1</f>
        <v>0</v>
      </c>
      <c r="J247" s="209"/>
    </row>
    <row r="248" spans="1:10" hidden="1">
      <c r="A248">
        <f>+'input sheet'!A50</f>
        <v>0</v>
      </c>
      <c r="B248" s="3"/>
      <c r="C248" s="7"/>
      <c r="D248" s="53"/>
      <c r="E248" s="53"/>
      <c r="F248" s="4"/>
      <c r="G248" s="6"/>
      <c r="H248" s="6"/>
      <c r="I248" s="171"/>
      <c r="J248" s="3"/>
    </row>
    <row r="249" spans="1:10" hidden="1">
      <c r="B249" s="3">
        <f>+A248*2</f>
        <v>0</v>
      </c>
      <c r="C249" s="7">
        <f>+$C$5</f>
        <v>1080</v>
      </c>
      <c r="D249" s="7">
        <f>+'input sheet'!C50</f>
        <v>450</v>
      </c>
      <c r="E249" s="7">
        <v>1</v>
      </c>
      <c r="F249" s="4">
        <v>1</v>
      </c>
      <c r="G249" s="6" t="str">
        <f t="shared" si="55"/>
        <v>tbc</v>
      </c>
      <c r="H249" s="6" t="str">
        <f t="shared" si="50"/>
        <v>white</v>
      </c>
      <c r="I249" s="171"/>
      <c r="J249" s="3" t="s">
        <v>34</v>
      </c>
    </row>
    <row r="250" spans="1:10" hidden="1">
      <c r="B250" s="3">
        <f>+A248*2</f>
        <v>0</v>
      </c>
      <c r="C250" s="7">
        <f>+$C$7</f>
        <v>300</v>
      </c>
      <c r="D250" s="7">
        <f>+A247-32</f>
        <v>68</v>
      </c>
      <c r="E250" s="7"/>
      <c r="F250" s="4">
        <v>1</v>
      </c>
      <c r="G250" s="6" t="str">
        <f t="shared" si="55"/>
        <v>tbc</v>
      </c>
      <c r="H250" s="6" t="str">
        <f t="shared" si="50"/>
        <v>white</v>
      </c>
      <c r="I250" s="171"/>
      <c r="J250" s="3" t="s">
        <v>32</v>
      </c>
    </row>
    <row r="251" spans="1:10" hidden="1">
      <c r="B251" s="3">
        <f>+A248*1</f>
        <v>0</v>
      </c>
      <c r="C251" s="7">
        <f>+$C$5-33</f>
        <v>1047</v>
      </c>
      <c r="D251" s="7">
        <f>+A247-32</f>
        <v>68</v>
      </c>
      <c r="E251" s="7"/>
      <c r="F251" s="4"/>
      <c r="G251" s="6" t="str">
        <f t="shared" si="55"/>
        <v>tbc</v>
      </c>
      <c r="H251" s="6" t="str">
        <f t="shared" si="50"/>
        <v>white</v>
      </c>
      <c r="I251" s="171"/>
      <c r="J251" s="3" t="s">
        <v>33</v>
      </c>
    </row>
    <row r="252" spans="1:10" hidden="1">
      <c r="B252" s="49">
        <f>+A248*2</f>
        <v>0</v>
      </c>
      <c r="C252" s="50">
        <f>+D249-24</f>
        <v>426</v>
      </c>
      <c r="D252" s="50">
        <f>+A247-32</f>
        <v>68</v>
      </c>
      <c r="E252" s="50"/>
      <c r="F252" s="4">
        <v>1</v>
      </c>
      <c r="G252" s="6" t="str">
        <f t="shared" si="55"/>
        <v>tbc</v>
      </c>
      <c r="H252" s="6" t="str">
        <f t="shared" si="50"/>
        <v>white</v>
      </c>
      <c r="I252" s="171"/>
      <c r="J252" s="3" t="s">
        <v>57</v>
      </c>
    </row>
    <row r="253" spans="1:10" ht="15.75" hidden="1" thickBot="1">
      <c r="A253" s="81">
        <f>+'input sheet'!B52</f>
        <v>900</v>
      </c>
      <c r="B253" s="78">
        <f>+A254</f>
        <v>0</v>
      </c>
      <c r="C253" s="79" t="s">
        <v>37</v>
      </c>
      <c r="D253" s="79"/>
      <c r="E253" s="80"/>
      <c r="F253" s="207">
        <f>+C255-3</f>
        <v>717</v>
      </c>
      <c r="G253" s="208">
        <f>+A253/2-3</f>
        <v>447</v>
      </c>
      <c r="H253" s="208"/>
      <c r="I253" s="208">
        <f>+B253*2</f>
        <v>0</v>
      </c>
      <c r="J253" s="209"/>
    </row>
    <row r="254" spans="1:10" hidden="1">
      <c r="A254">
        <f>+'input sheet'!A52</f>
        <v>0</v>
      </c>
      <c r="B254" s="52"/>
      <c r="C254" s="53"/>
      <c r="D254" s="53"/>
      <c r="E254" s="53"/>
      <c r="F254" s="4"/>
      <c r="G254" s="6"/>
      <c r="H254" s="6"/>
      <c r="I254" s="171"/>
      <c r="J254" s="3"/>
    </row>
    <row r="255" spans="1:10" hidden="1">
      <c r="B255" s="3">
        <f>+A254*2</f>
        <v>0</v>
      </c>
      <c r="C255" s="7">
        <f>+$C$6</f>
        <v>720</v>
      </c>
      <c r="D255" s="7">
        <f>+$C$7</f>
        <v>300</v>
      </c>
      <c r="E255" s="7">
        <v>1</v>
      </c>
      <c r="F255" s="4">
        <v>1</v>
      </c>
      <c r="G255" s="6" t="str">
        <f t="shared" si="55"/>
        <v>tbc</v>
      </c>
      <c r="H255" s="6" t="str">
        <f t="shared" si="50"/>
        <v>white</v>
      </c>
      <c r="I255" s="171"/>
      <c r="J255" s="3" t="s">
        <v>34</v>
      </c>
    </row>
    <row r="256" spans="1:10" hidden="1">
      <c r="B256" s="3">
        <f>+A254*2</f>
        <v>0</v>
      </c>
      <c r="C256" s="7">
        <f>+A253-32</f>
        <v>868</v>
      </c>
      <c r="D256" s="7">
        <f>+$C$7</f>
        <v>300</v>
      </c>
      <c r="E256" s="7">
        <v>1</v>
      </c>
      <c r="F256" s="4"/>
      <c r="G256" s="6" t="str">
        <f t="shared" si="55"/>
        <v>tbc</v>
      </c>
      <c r="H256" s="6" t="str">
        <f t="shared" si="50"/>
        <v>white</v>
      </c>
      <c r="I256" s="171"/>
      <c r="J256" s="3" t="s">
        <v>32</v>
      </c>
    </row>
    <row r="257" spans="1:10" hidden="1">
      <c r="B257" s="3">
        <f>+A254*1</f>
        <v>0</v>
      </c>
      <c r="C257" s="7">
        <f>+$C$6-32</f>
        <v>688</v>
      </c>
      <c r="D257" s="7">
        <f>+A253-32</f>
        <v>868</v>
      </c>
      <c r="E257" s="7"/>
      <c r="F257" s="4"/>
      <c r="G257" s="6" t="str">
        <f t="shared" si="55"/>
        <v>tbc</v>
      </c>
      <c r="H257" s="6" t="str">
        <f t="shared" si="50"/>
        <v>white</v>
      </c>
      <c r="I257" s="171"/>
      <c r="J257" s="3" t="s">
        <v>33</v>
      </c>
    </row>
    <row r="258" spans="1:10" hidden="1">
      <c r="B258" s="49">
        <f>+A254*1</f>
        <v>0</v>
      </c>
      <c r="C258" s="50">
        <f>+A253-32</f>
        <v>868</v>
      </c>
      <c r="D258" s="50">
        <f>+$C$7-26</f>
        <v>274</v>
      </c>
      <c r="E258" s="50">
        <v>1</v>
      </c>
      <c r="F258" s="4"/>
      <c r="G258" s="6" t="str">
        <f t="shared" si="55"/>
        <v>tbc</v>
      </c>
      <c r="H258" s="6" t="str">
        <f t="shared" si="50"/>
        <v>white</v>
      </c>
      <c r="I258" s="171"/>
      <c r="J258" s="3" t="s">
        <v>57</v>
      </c>
    </row>
    <row r="259" spans="1:10" ht="15.75" hidden="1" thickBot="1">
      <c r="A259" s="81">
        <f>+'input sheet'!B53</f>
        <v>750</v>
      </c>
      <c r="B259" s="78">
        <f>+A260</f>
        <v>0</v>
      </c>
      <c r="C259" s="79" t="s">
        <v>37</v>
      </c>
      <c r="D259" s="79"/>
      <c r="E259" s="80"/>
      <c r="F259" s="207">
        <f>+C261-3</f>
        <v>717</v>
      </c>
      <c r="G259" s="208">
        <f>+A259/2-3</f>
        <v>372</v>
      </c>
      <c r="H259" s="208"/>
      <c r="I259" s="208">
        <f>+B259*2</f>
        <v>0</v>
      </c>
      <c r="J259" s="209"/>
    </row>
    <row r="260" spans="1:10" hidden="1">
      <c r="A260">
        <f>+'input sheet'!A53</f>
        <v>0</v>
      </c>
      <c r="B260" s="52"/>
      <c r="C260" s="53"/>
      <c r="D260" s="53"/>
      <c r="E260" s="53"/>
      <c r="F260" s="4"/>
      <c r="G260" s="6"/>
      <c r="H260" s="6"/>
      <c r="I260" s="171"/>
      <c r="J260" s="3"/>
    </row>
    <row r="261" spans="1:10" hidden="1">
      <c r="B261" s="3">
        <f>+A260*2</f>
        <v>0</v>
      </c>
      <c r="C261" s="7">
        <f>+$C$6</f>
        <v>720</v>
      </c>
      <c r="D261" s="7">
        <f>+$C$7</f>
        <v>300</v>
      </c>
      <c r="E261" s="7">
        <v>1</v>
      </c>
      <c r="F261" s="4">
        <v>1</v>
      </c>
      <c r="G261" s="6" t="str">
        <f t="shared" si="55"/>
        <v>tbc</v>
      </c>
      <c r="H261" s="6" t="str">
        <f t="shared" si="50"/>
        <v>white</v>
      </c>
      <c r="I261" s="171"/>
      <c r="J261" s="3" t="s">
        <v>34</v>
      </c>
    </row>
    <row r="262" spans="1:10" hidden="1">
      <c r="B262" s="3">
        <f>+A260*2</f>
        <v>0</v>
      </c>
      <c r="C262" s="7">
        <f>+A259-32</f>
        <v>718</v>
      </c>
      <c r="D262" s="7">
        <f>+$C$7</f>
        <v>300</v>
      </c>
      <c r="E262" s="7">
        <v>1</v>
      </c>
      <c r="F262" s="4"/>
      <c r="G262" s="6" t="str">
        <f t="shared" si="55"/>
        <v>tbc</v>
      </c>
      <c r="H262" s="6" t="str">
        <f t="shared" si="50"/>
        <v>white</v>
      </c>
      <c r="I262" s="171"/>
      <c r="J262" s="3" t="s">
        <v>32</v>
      </c>
    </row>
    <row r="263" spans="1:10" hidden="1">
      <c r="B263" s="3">
        <f>+A260*1</f>
        <v>0</v>
      </c>
      <c r="C263" s="7">
        <f>+$C$6-32</f>
        <v>688</v>
      </c>
      <c r="D263" s="7">
        <f>+A259-32</f>
        <v>718</v>
      </c>
      <c r="E263" s="7"/>
      <c r="F263" s="4"/>
      <c r="G263" s="6" t="str">
        <f t="shared" si="55"/>
        <v>tbc</v>
      </c>
      <c r="H263" s="6" t="str">
        <f t="shared" si="50"/>
        <v>white</v>
      </c>
      <c r="I263" s="171"/>
      <c r="J263" s="3" t="s">
        <v>33</v>
      </c>
    </row>
    <row r="264" spans="1:10" hidden="1">
      <c r="B264" s="49">
        <f>+A260*1</f>
        <v>0</v>
      </c>
      <c r="C264" s="50">
        <f>+A259-32</f>
        <v>718</v>
      </c>
      <c r="D264" s="50">
        <f>+$C$7-26</f>
        <v>274</v>
      </c>
      <c r="E264" s="50">
        <v>1</v>
      </c>
      <c r="F264" s="4"/>
      <c r="G264" s="6" t="str">
        <f t="shared" si="55"/>
        <v>tbc</v>
      </c>
      <c r="H264" s="6" t="str">
        <f t="shared" si="50"/>
        <v>white</v>
      </c>
      <c r="I264" s="171"/>
      <c r="J264" s="3" t="s">
        <v>57</v>
      </c>
    </row>
    <row r="265" spans="1:10" ht="15.75" hidden="1" thickBot="1">
      <c r="A265" s="81">
        <f>+'input sheet'!B56</f>
        <v>600</v>
      </c>
      <c r="B265" s="78">
        <f>+A266</f>
        <v>0</v>
      </c>
      <c r="C265" s="79" t="s">
        <v>37</v>
      </c>
      <c r="D265" s="79"/>
      <c r="E265" s="80"/>
      <c r="F265" s="207">
        <f>+C267-3</f>
        <v>717</v>
      </c>
      <c r="G265" s="208">
        <f>+A265-3</f>
        <v>597</v>
      </c>
      <c r="H265" s="208"/>
      <c r="I265" s="208">
        <f>+B265*1</f>
        <v>0</v>
      </c>
      <c r="J265" s="209"/>
    </row>
    <row r="266" spans="1:10" hidden="1">
      <c r="A266">
        <f>+'input sheet'!A56</f>
        <v>0</v>
      </c>
      <c r="B266" s="52"/>
      <c r="C266" s="53"/>
      <c r="D266" s="53"/>
      <c r="E266" s="53"/>
      <c r="F266" s="4"/>
      <c r="G266" s="6"/>
      <c r="H266" s="6"/>
      <c r="I266" s="171"/>
      <c r="J266" s="3"/>
    </row>
    <row r="267" spans="1:10" hidden="1">
      <c r="B267" s="3">
        <f>+A266*2</f>
        <v>0</v>
      </c>
      <c r="C267" s="7">
        <f>+$C$6</f>
        <v>720</v>
      </c>
      <c r="D267" s="7">
        <f>+$C$7</f>
        <v>300</v>
      </c>
      <c r="E267" s="7">
        <v>1</v>
      </c>
      <c r="F267" s="4">
        <v>1</v>
      </c>
      <c r="G267" s="6" t="str">
        <f t="shared" si="55"/>
        <v>tbc</v>
      </c>
      <c r="H267" s="6" t="str">
        <f t="shared" si="50"/>
        <v>white</v>
      </c>
      <c r="I267" s="171"/>
      <c r="J267" s="3" t="s">
        <v>34</v>
      </c>
    </row>
    <row r="268" spans="1:10" hidden="1">
      <c r="B268" s="3">
        <f>+A266*2</f>
        <v>0</v>
      </c>
      <c r="C268" s="7">
        <f>+A265-32</f>
        <v>568</v>
      </c>
      <c r="D268" s="7">
        <f>+$C$7</f>
        <v>300</v>
      </c>
      <c r="E268" s="7">
        <v>1</v>
      </c>
      <c r="F268" s="4"/>
      <c r="G268" s="6" t="str">
        <f t="shared" si="55"/>
        <v>tbc</v>
      </c>
      <c r="H268" s="6" t="str">
        <f t="shared" si="50"/>
        <v>white</v>
      </c>
      <c r="I268" s="171"/>
      <c r="J268" s="3" t="s">
        <v>32</v>
      </c>
    </row>
    <row r="269" spans="1:10" hidden="1">
      <c r="B269" s="3">
        <f>+A266*1</f>
        <v>0</v>
      </c>
      <c r="C269" s="7">
        <f>+$C$6-32</f>
        <v>688</v>
      </c>
      <c r="D269" s="7">
        <f>+A265-32</f>
        <v>568</v>
      </c>
      <c r="E269" s="7"/>
      <c r="F269" s="4"/>
      <c r="G269" s="6" t="str">
        <f t="shared" si="55"/>
        <v>tbc</v>
      </c>
      <c r="H269" s="6" t="str">
        <f t="shared" si="50"/>
        <v>white</v>
      </c>
      <c r="I269" s="171"/>
      <c r="J269" s="3" t="s">
        <v>33</v>
      </c>
    </row>
    <row r="270" spans="1:10" hidden="1">
      <c r="B270" s="49">
        <f>+A266*1</f>
        <v>0</v>
      </c>
      <c r="C270" s="50">
        <f>+A265-32</f>
        <v>568</v>
      </c>
      <c r="D270" s="50">
        <f>+$C$7-26</f>
        <v>274</v>
      </c>
      <c r="E270" s="50">
        <v>1</v>
      </c>
      <c r="F270" s="4"/>
      <c r="G270" s="6" t="str">
        <f t="shared" si="55"/>
        <v>tbc</v>
      </c>
      <c r="H270" s="6" t="str">
        <f t="shared" si="50"/>
        <v>white</v>
      </c>
      <c r="I270" s="171"/>
      <c r="J270" s="3" t="s">
        <v>57</v>
      </c>
    </row>
    <row r="271" spans="1:10" ht="15.75" hidden="1" thickBot="1">
      <c r="A271" s="81">
        <f>+'input sheet'!B55</f>
        <v>600</v>
      </c>
      <c r="B271" s="78">
        <f>+A272</f>
        <v>0</v>
      </c>
      <c r="C271" s="79" t="s">
        <v>37</v>
      </c>
      <c r="D271" s="79"/>
      <c r="E271" s="80"/>
      <c r="F271" s="207">
        <f>+C273-3</f>
        <v>717</v>
      </c>
      <c r="G271" s="208">
        <f>+A271/2-3</f>
        <v>297</v>
      </c>
      <c r="H271" s="208"/>
      <c r="I271" s="208">
        <f>+B271*2</f>
        <v>0</v>
      </c>
      <c r="J271" s="209"/>
    </row>
    <row r="272" spans="1:10" hidden="1">
      <c r="A272">
        <f>+'input sheet'!A62</f>
        <v>0</v>
      </c>
      <c r="B272" s="52"/>
      <c r="C272" s="53"/>
      <c r="D272" s="53"/>
      <c r="E272" s="53"/>
      <c r="F272" s="233"/>
      <c r="G272" s="233"/>
      <c r="H272" s="233"/>
      <c r="I272" s="233"/>
      <c r="J272" s="3"/>
    </row>
    <row r="273" spans="1:10" hidden="1">
      <c r="B273" s="3">
        <f>+A272*2</f>
        <v>0</v>
      </c>
      <c r="C273" s="233">
        <f>+$C$6</f>
        <v>720</v>
      </c>
      <c r="D273" s="233">
        <f>+$C$7</f>
        <v>300</v>
      </c>
      <c r="E273" s="233">
        <v>1</v>
      </c>
      <c r="F273" s="233">
        <v>1</v>
      </c>
      <c r="G273" s="233" t="str">
        <f t="shared" ref="G273:G276" si="56">+F$2</f>
        <v>tbc</v>
      </c>
      <c r="H273" s="233" t="str">
        <f t="shared" ref="H273:H276" si="57">+F$1</f>
        <v>white</v>
      </c>
      <c r="I273" s="233"/>
      <c r="J273" s="3" t="s">
        <v>34</v>
      </c>
    </row>
    <row r="274" spans="1:10" hidden="1">
      <c r="B274" s="3">
        <f>+B271*2</f>
        <v>0</v>
      </c>
      <c r="C274" s="233">
        <f>A271-32</f>
        <v>568</v>
      </c>
      <c r="D274" s="233">
        <f>+$C$7</f>
        <v>300</v>
      </c>
      <c r="E274" s="233">
        <v>1</v>
      </c>
      <c r="F274" s="233"/>
      <c r="G274" s="233" t="str">
        <f t="shared" si="56"/>
        <v>tbc</v>
      </c>
      <c r="H274" s="233" t="str">
        <f t="shared" si="57"/>
        <v>white</v>
      </c>
      <c r="I274" s="233"/>
      <c r="J274" s="3" t="s">
        <v>32</v>
      </c>
    </row>
    <row r="275" spans="1:10" hidden="1">
      <c r="B275" s="3">
        <f>+B271</f>
        <v>0</v>
      </c>
      <c r="C275" s="233">
        <f>+$C$6-32</f>
        <v>688</v>
      </c>
      <c r="D275" s="233">
        <f>+A271-32</f>
        <v>568</v>
      </c>
      <c r="E275" s="233"/>
      <c r="F275" s="233"/>
      <c r="G275" s="233" t="str">
        <f t="shared" si="56"/>
        <v>tbc</v>
      </c>
      <c r="H275" s="233" t="str">
        <f t="shared" si="57"/>
        <v>white</v>
      </c>
      <c r="I275" s="233"/>
      <c r="J275" s="3" t="s">
        <v>33</v>
      </c>
    </row>
    <row r="276" spans="1:10" hidden="1">
      <c r="B276" s="49">
        <f>+B271</f>
        <v>0</v>
      </c>
      <c r="C276" s="50">
        <f>+C274</f>
        <v>568</v>
      </c>
      <c r="D276" s="50">
        <f>+$C$7-26</f>
        <v>274</v>
      </c>
      <c r="E276" s="50">
        <v>1</v>
      </c>
      <c r="F276" s="233"/>
      <c r="G276" s="233" t="str">
        <f t="shared" si="56"/>
        <v>tbc</v>
      </c>
      <c r="H276" s="233" t="str">
        <f t="shared" si="57"/>
        <v>white</v>
      </c>
      <c r="I276" s="233"/>
      <c r="J276" s="3" t="s">
        <v>57</v>
      </c>
    </row>
    <row r="277" spans="1:10" ht="15.75" hidden="1" thickBot="1">
      <c r="A277" s="81">
        <f>+'input sheet'!B57</f>
        <v>900</v>
      </c>
      <c r="B277" s="78">
        <f>+A278</f>
        <v>0</v>
      </c>
      <c r="C277" s="79" t="s">
        <v>37</v>
      </c>
      <c r="D277" s="79"/>
      <c r="E277" s="80"/>
      <c r="F277" s="207"/>
      <c r="G277" s="208"/>
      <c r="H277" s="208"/>
      <c r="I277" s="208"/>
      <c r="J277" s="209"/>
    </row>
    <row r="278" spans="1:10" hidden="1">
      <c r="A278">
        <f>+'input sheet'!A57</f>
        <v>0</v>
      </c>
      <c r="B278" s="52"/>
      <c r="C278" s="53"/>
      <c r="D278" s="53"/>
      <c r="E278" s="53"/>
      <c r="F278" s="118"/>
      <c r="G278" s="118"/>
      <c r="H278" s="118"/>
      <c r="I278" s="171"/>
      <c r="J278" s="3"/>
    </row>
    <row r="279" spans="1:10" hidden="1">
      <c r="B279" s="3">
        <f>+A278*2</f>
        <v>0</v>
      </c>
      <c r="C279" s="118">
        <f>+'input sheet'!D57</f>
        <v>360</v>
      </c>
      <c r="D279" s="118">
        <f>+'input sheet'!C57</f>
        <v>300</v>
      </c>
      <c r="E279" s="118">
        <v>1</v>
      </c>
      <c r="F279" s="118">
        <v>1</v>
      </c>
      <c r="G279" s="118" t="str">
        <f t="shared" ref="G279:G281" si="58">+F$2</f>
        <v>tbc</v>
      </c>
      <c r="H279" s="147" t="str">
        <f t="shared" si="50"/>
        <v>white</v>
      </c>
      <c r="I279" s="171"/>
      <c r="J279" s="3" t="s">
        <v>34</v>
      </c>
    </row>
    <row r="280" spans="1:10" hidden="1">
      <c r="B280" s="3">
        <f>+A278*2</f>
        <v>0</v>
      </c>
      <c r="C280" s="118">
        <f>+A277-32</f>
        <v>868</v>
      </c>
      <c r="D280" s="118">
        <f>+'input sheet'!C57</f>
        <v>300</v>
      </c>
      <c r="E280" s="118">
        <v>1</v>
      </c>
      <c r="F280" s="118"/>
      <c r="G280" s="118" t="str">
        <f t="shared" si="58"/>
        <v>tbc</v>
      </c>
      <c r="H280" s="147" t="str">
        <f t="shared" si="50"/>
        <v>white</v>
      </c>
      <c r="I280" s="171"/>
      <c r="J280" s="3" t="s">
        <v>32</v>
      </c>
    </row>
    <row r="281" spans="1:10" hidden="1">
      <c r="B281" s="3">
        <f>+A278*1</f>
        <v>0</v>
      </c>
      <c r="C281" s="118">
        <f>+C279-32</f>
        <v>328</v>
      </c>
      <c r="D281" s="118">
        <f>+A277-32</f>
        <v>868</v>
      </c>
      <c r="E281" s="118"/>
      <c r="F281" s="118"/>
      <c r="G281" s="118" t="str">
        <f t="shared" si="58"/>
        <v>tbc</v>
      </c>
      <c r="H281" s="147" t="str">
        <f t="shared" si="50"/>
        <v>white</v>
      </c>
      <c r="I281" s="171"/>
      <c r="J281" s="3" t="s">
        <v>33</v>
      </c>
    </row>
    <row r="282" spans="1:10" ht="15.75" hidden="1" thickBot="1">
      <c r="A282" s="81">
        <f>+'input sheet'!B58</f>
        <v>450</v>
      </c>
      <c r="B282" s="123">
        <f>+A283</f>
        <v>0</v>
      </c>
      <c r="C282" s="124" t="s">
        <v>37</v>
      </c>
      <c r="D282" s="124"/>
      <c r="E282" s="125"/>
      <c r="F282" s="207">
        <f>+C284-3</f>
        <v>717</v>
      </c>
      <c r="G282" s="208">
        <f>+A282-3</f>
        <v>447</v>
      </c>
      <c r="H282" s="208"/>
      <c r="I282" s="208">
        <f>+B282*1</f>
        <v>0</v>
      </c>
      <c r="J282" s="209"/>
    </row>
    <row r="283" spans="1:10" hidden="1">
      <c r="A283">
        <f>+'input sheet'!A58</f>
        <v>0</v>
      </c>
      <c r="B283" s="52"/>
      <c r="C283" s="53"/>
      <c r="D283" s="53"/>
      <c r="E283" s="53"/>
      <c r="F283" s="4"/>
      <c r="G283" s="6"/>
      <c r="H283" s="6"/>
      <c r="I283" s="171"/>
      <c r="J283" s="3"/>
    </row>
    <row r="284" spans="1:10" hidden="1">
      <c r="B284" s="3">
        <f>+A283*2</f>
        <v>0</v>
      </c>
      <c r="C284" s="7">
        <f>+$C$6</f>
        <v>720</v>
      </c>
      <c r="D284" s="7">
        <f>+$C$7</f>
        <v>300</v>
      </c>
      <c r="E284" s="7">
        <v>1</v>
      </c>
      <c r="F284" s="4">
        <v>1</v>
      </c>
      <c r="G284" s="6" t="str">
        <f t="shared" si="55"/>
        <v>tbc</v>
      </c>
      <c r="H284" s="6" t="str">
        <f t="shared" si="50"/>
        <v>white</v>
      </c>
      <c r="I284" s="171"/>
      <c r="J284" s="3" t="s">
        <v>34</v>
      </c>
    </row>
    <row r="285" spans="1:10" hidden="1">
      <c r="B285" s="3">
        <f>+A283*2</f>
        <v>0</v>
      </c>
      <c r="C285" s="7">
        <f>+A282-32</f>
        <v>418</v>
      </c>
      <c r="D285" s="7">
        <f>+$C$7</f>
        <v>300</v>
      </c>
      <c r="E285" s="7">
        <v>1</v>
      </c>
      <c r="F285" s="4"/>
      <c r="G285" s="6" t="str">
        <f t="shared" si="55"/>
        <v>tbc</v>
      </c>
      <c r="H285" s="6" t="str">
        <f t="shared" si="50"/>
        <v>white</v>
      </c>
      <c r="I285" s="171"/>
      <c r="J285" s="3" t="s">
        <v>32</v>
      </c>
    </row>
    <row r="286" spans="1:10" hidden="1">
      <c r="B286" s="3">
        <f>+A283*1</f>
        <v>0</v>
      </c>
      <c r="C286" s="7">
        <f>+$C$6-32</f>
        <v>688</v>
      </c>
      <c r="D286" s="7">
        <f>+A282-32</f>
        <v>418</v>
      </c>
      <c r="E286" s="7"/>
      <c r="F286" s="4"/>
      <c r="G286" s="6" t="str">
        <f t="shared" si="55"/>
        <v>tbc</v>
      </c>
      <c r="H286" s="6" t="str">
        <f t="shared" si="50"/>
        <v>white</v>
      </c>
      <c r="I286" s="171"/>
      <c r="J286" s="3" t="s">
        <v>33</v>
      </c>
    </row>
    <row r="287" spans="1:10" hidden="1">
      <c r="B287" s="49">
        <f>+A283*1</f>
        <v>0</v>
      </c>
      <c r="C287" s="50">
        <f>+A282-32</f>
        <v>418</v>
      </c>
      <c r="D287" s="50">
        <f>+$C$7-26</f>
        <v>274</v>
      </c>
      <c r="E287" s="50">
        <v>1</v>
      </c>
      <c r="F287" s="4"/>
      <c r="G287" s="6" t="str">
        <f t="shared" si="55"/>
        <v>tbc</v>
      </c>
      <c r="H287" s="6" t="str">
        <f t="shared" si="50"/>
        <v>white</v>
      </c>
      <c r="I287" s="171"/>
      <c r="J287" s="3" t="s">
        <v>57</v>
      </c>
    </row>
    <row r="288" spans="1:10" ht="15.75" hidden="1" thickBot="1">
      <c r="A288" s="81">
        <f>+'input sheet'!B61</f>
        <v>500</v>
      </c>
      <c r="B288" s="78">
        <f>+A289</f>
        <v>0</v>
      </c>
      <c r="C288" s="79" t="s">
        <v>37</v>
      </c>
      <c r="D288" s="79"/>
      <c r="E288" s="80"/>
      <c r="F288" s="207">
        <f>+C290-3</f>
        <v>357</v>
      </c>
      <c r="G288" s="208">
        <f>+A288-3</f>
        <v>497</v>
      </c>
      <c r="H288" s="208"/>
      <c r="I288" s="208">
        <f>+B288*1</f>
        <v>0</v>
      </c>
      <c r="J288" s="209"/>
    </row>
    <row r="289" spans="1:10" hidden="1">
      <c r="A289">
        <f>+'input sheet'!A61</f>
        <v>0</v>
      </c>
      <c r="B289" s="52"/>
      <c r="C289" s="53"/>
      <c r="D289" s="53"/>
      <c r="E289" s="53"/>
      <c r="F289" s="128"/>
      <c r="G289" s="128"/>
      <c r="H289" s="128"/>
      <c r="I289" s="171"/>
      <c r="J289" s="3"/>
    </row>
    <row r="290" spans="1:10" hidden="1">
      <c r="B290" s="3">
        <f>+A289*2</f>
        <v>0</v>
      </c>
      <c r="C290" s="128">
        <f>+'input sheet'!D61</f>
        <v>360</v>
      </c>
      <c r="D290" s="128">
        <f>+'input sheet'!C61</f>
        <v>300</v>
      </c>
      <c r="E290" s="128">
        <v>1</v>
      </c>
      <c r="F290" s="128">
        <v>1</v>
      </c>
      <c r="G290" s="128" t="str">
        <f t="shared" ref="G290:G293" si="59">+F$2</f>
        <v>tbc</v>
      </c>
      <c r="H290" s="147" t="str">
        <f t="shared" si="50"/>
        <v>white</v>
      </c>
      <c r="I290" s="171"/>
      <c r="J290" s="3" t="s">
        <v>34</v>
      </c>
    </row>
    <row r="291" spans="1:10" hidden="1">
      <c r="B291" s="3">
        <f>+A289*2</f>
        <v>0</v>
      </c>
      <c r="C291" s="128">
        <f>+D290</f>
        <v>300</v>
      </c>
      <c r="D291" s="128">
        <f>+A288-32</f>
        <v>468</v>
      </c>
      <c r="E291" s="128"/>
      <c r="F291" s="128">
        <v>1</v>
      </c>
      <c r="G291" s="128" t="str">
        <f t="shared" si="59"/>
        <v>tbc</v>
      </c>
      <c r="H291" s="147" t="str">
        <f t="shared" si="50"/>
        <v>white</v>
      </c>
      <c r="I291" s="171"/>
      <c r="J291" s="3" t="s">
        <v>32</v>
      </c>
    </row>
    <row r="292" spans="1:10" hidden="1">
      <c r="B292" s="3">
        <f>+A289*1</f>
        <v>0</v>
      </c>
      <c r="C292" s="128">
        <f>+C290-32</f>
        <v>328</v>
      </c>
      <c r="D292" s="128">
        <f>+A288-32</f>
        <v>468</v>
      </c>
      <c r="E292" s="128"/>
      <c r="F292" s="128"/>
      <c r="G292" s="128" t="str">
        <f t="shared" si="59"/>
        <v>tbc</v>
      </c>
      <c r="H292" s="147" t="str">
        <f t="shared" si="50"/>
        <v>white</v>
      </c>
      <c r="I292" s="171"/>
      <c r="J292" s="3" t="s">
        <v>33</v>
      </c>
    </row>
    <row r="293" spans="1:10" hidden="1">
      <c r="B293" s="3">
        <v>0</v>
      </c>
      <c r="C293" s="128">
        <f>+C291</f>
        <v>300</v>
      </c>
      <c r="D293" s="128">
        <f>+D291</f>
        <v>468</v>
      </c>
      <c r="E293" s="128">
        <v>0</v>
      </c>
      <c r="F293" s="128">
        <v>1</v>
      </c>
      <c r="G293" s="128" t="str">
        <f t="shared" si="59"/>
        <v>tbc</v>
      </c>
      <c r="H293" s="147" t="str">
        <f t="shared" si="50"/>
        <v>white</v>
      </c>
      <c r="I293" s="171"/>
      <c r="J293" s="3" t="s">
        <v>57</v>
      </c>
    </row>
    <row r="294" spans="1:10" ht="15.75" hidden="1" thickBot="1">
      <c r="A294" s="268">
        <f>+'input sheet'!B60</f>
        <v>290</v>
      </c>
      <c r="B294" s="78">
        <f>+A295</f>
        <v>0</v>
      </c>
      <c r="C294" s="79" t="s">
        <v>37</v>
      </c>
      <c r="D294" s="79"/>
      <c r="E294" s="80"/>
      <c r="F294" s="207">
        <f>+C296-3</f>
        <v>717</v>
      </c>
      <c r="G294" s="208">
        <f>+A294-3</f>
        <v>287</v>
      </c>
      <c r="H294" s="208"/>
      <c r="I294" s="208">
        <f>+B294*1</f>
        <v>0</v>
      </c>
      <c r="J294" s="209"/>
    </row>
    <row r="295" spans="1:10" hidden="1">
      <c r="A295">
        <f>+'input sheet'!A60</f>
        <v>0</v>
      </c>
      <c r="B295" s="52"/>
      <c r="C295" s="53"/>
      <c r="D295" s="53"/>
      <c r="E295" s="53"/>
      <c r="F295" s="4"/>
      <c r="G295" s="6"/>
      <c r="H295" s="6"/>
      <c r="I295" s="171"/>
      <c r="J295" s="3"/>
    </row>
    <row r="296" spans="1:10" hidden="1">
      <c r="B296" s="3">
        <f>+A295*2</f>
        <v>0</v>
      </c>
      <c r="C296" s="7">
        <f>+$C$6</f>
        <v>720</v>
      </c>
      <c r="D296" s="7">
        <f>+$C$7</f>
        <v>300</v>
      </c>
      <c r="E296" s="7">
        <v>1</v>
      </c>
      <c r="F296" s="4">
        <v>1</v>
      </c>
      <c r="G296" s="6" t="str">
        <f t="shared" si="55"/>
        <v>tbc</v>
      </c>
      <c r="H296" s="6" t="str">
        <f t="shared" si="50"/>
        <v>white</v>
      </c>
      <c r="I296" s="171"/>
      <c r="J296" s="3" t="s">
        <v>34</v>
      </c>
    </row>
    <row r="297" spans="1:10" hidden="1">
      <c r="B297" s="3">
        <f>+A295*2</f>
        <v>0</v>
      </c>
      <c r="C297" s="7">
        <f>+$C$7</f>
        <v>300</v>
      </c>
      <c r="D297" s="7">
        <f>+A294-32</f>
        <v>258</v>
      </c>
      <c r="E297" s="7"/>
      <c r="F297" s="4">
        <v>1</v>
      </c>
      <c r="G297" s="6" t="str">
        <f t="shared" si="55"/>
        <v>tbc</v>
      </c>
      <c r="H297" s="6" t="str">
        <f t="shared" si="50"/>
        <v>white</v>
      </c>
      <c r="I297" s="171"/>
      <c r="J297" s="3" t="s">
        <v>32</v>
      </c>
    </row>
    <row r="298" spans="1:10" hidden="1">
      <c r="B298" s="3">
        <f>+A295*1</f>
        <v>0</v>
      </c>
      <c r="C298" s="7">
        <f>+$C$6-32</f>
        <v>688</v>
      </c>
      <c r="D298" s="7">
        <f>+A294-32</f>
        <v>258</v>
      </c>
      <c r="E298" s="7"/>
      <c r="F298" s="4"/>
      <c r="G298" s="6" t="str">
        <f t="shared" si="55"/>
        <v>tbc</v>
      </c>
      <c r="H298" s="6" t="str">
        <f t="shared" si="50"/>
        <v>white</v>
      </c>
      <c r="I298" s="171"/>
      <c r="J298" s="3" t="s">
        <v>33</v>
      </c>
    </row>
    <row r="299" spans="1:10" ht="15.75" hidden="1" thickBot="1">
      <c r="A299" s="81">
        <f>+'input sheet'!B62</f>
        <v>200</v>
      </c>
      <c r="B299" s="78">
        <f>+A300</f>
        <v>0</v>
      </c>
      <c r="C299" s="79" t="s">
        <v>37</v>
      </c>
      <c r="D299" s="79"/>
      <c r="E299" s="80"/>
      <c r="F299" s="207">
        <f>+C301-3</f>
        <v>717</v>
      </c>
      <c r="G299" s="208">
        <f>+A299-3</f>
        <v>197</v>
      </c>
      <c r="H299" s="208"/>
      <c r="I299" s="208">
        <f>+B299*1</f>
        <v>0</v>
      </c>
      <c r="J299" s="209"/>
    </row>
    <row r="300" spans="1:10" hidden="1">
      <c r="A300">
        <f>+'input sheet'!A62</f>
        <v>0</v>
      </c>
      <c r="B300" s="52"/>
      <c r="C300" s="53"/>
      <c r="D300" s="53"/>
      <c r="E300" s="53"/>
      <c r="F300" s="4"/>
      <c r="G300" s="6"/>
      <c r="H300" s="6"/>
      <c r="I300" s="171"/>
      <c r="J300" s="3"/>
    </row>
    <row r="301" spans="1:10" hidden="1">
      <c r="B301" s="3">
        <f>+A300*2</f>
        <v>0</v>
      </c>
      <c r="C301" s="7">
        <f>+$C$6</f>
        <v>720</v>
      </c>
      <c r="D301" s="7">
        <f>+$C$7</f>
        <v>300</v>
      </c>
      <c r="E301" s="7">
        <v>1</v>
      </c>
      <c r="F301" s="4">
        <v>1</v>
      </c>
      <c r="G301" s="6" t="str">
        <f t="shared" si="55"/>
        <v>tbc</v>
      </c>
      <c r="H301" s="6" t="str">
        <f t="shared" si="50"/>
        <v>white</v>
      </c>
      <c r="I301" s="171"/>
      <c r="J301" s="3" t="s">
        <v>34</v>
      </c>
    </row>
    <row r="302" spans="1:10" hidden="1">
      <c r="B302" s="3">
        <f>+A300*2</f>
        <v>0</v>
      </c>
      <c r="C302" s="7">
        <f>+$C$7</f>
        <v>300</v>
      </c>
      <c r="D302" s="7">
        <f>+A299-32</f>
        <v>168</v>
      </c>
      <c r="E302" s="7"/>
      <c r="F302" s="4">
        <v>1</v>
      </c>
      <c r="G302" s="6" t="str">
        <f t="shared" si="55"/>
        <v>tbc</v>
      </c>
      <c r="H302" s="6" t="str">
        <f t="shared" si="50"/>
        <v>white</v>
      </c>
      <c r="I302" s="171"/>
      <c r="J302" s="3" t="s">
        <v>32</v>
      </c>
    </row>
    <row r="303" spans="1:10" hidden="1">
      <c r="B303" s="3">
        <f>+A300*1</f>
        <v>0</v>
      </c>
      <c r="C303" s="7">
        <f>+$C$6-32</f>
        <v>688</v>
      </c>
      <c r="D303" s="7">
        <f>+A299-32</f>
        <v>168</v>
      </c>
      <c r="E303" s="7"/>
      <c r="F303" s="4"/>
      <c r="G303" s="6" t="str">
        <f t="shared" si="55"/>
        <v>tbc</v>
      </c>
      <c r="H303" s="6" t="str">
        <f t="shared" ref="H303:H310" si="60">+F$1</f>
        <v>white</v>
      </c>
      <c r="I303" s="171"/>
      <c r="J303" s="3" t="s">
        <v>33</v>
      </c>
    </row>
    <row r="304" spans="1:10" hidden="1">
      <c r="B304" s="49">
        <f>+A300*1</f>
        <v>0</v>
      </c>
      <c r="C304" s="50">
        <f>+$C$7-26</f>
        <v>274</v>
      </c>
      <c r="D304" s="50">
        <f>+A299-32</f>
        <v>168</v>
      </c>
      <c r="E304" s="50"/>
      <c r="F304" s="4">
        <v>1</v>
      </c>
      <c r="G304" s="6" t="str">
        <f t="shared" si="55"/>
        <v>tbc</v>
      </c>
      <c r="H304" s="6" t="str">
        <f t="shared" si="60"/>
        <v>white</v>
      </c>
      <c r="I304" s="171"/>
      <c r="J304" s="3" t="s">
        <v>57</v>
      </c>
    </row>
    <row r="305" spans="1:10" ht="15.75" hidden="1" thickBot="1">
      <c r="A305" s="81">
        <f>+'input sheet'!B63</f>
        <v>150</v>
      </c>
      <c r="B305" s="78">
        <f>+A306</f>
        <v>0</v>
      </c>
      <c r="C305" s="79" t="s">
        <v>37</v>
      </c>
      <c r="D305" s="79"/>
      <c r="E305" s="80"/>
      <c r="F305" s="207">
        <f>+C307-3</f>
        <v>717</v>
      </c>
      <c r="G305" s="208">
        <f>+A305-3</f>
        <v>147</v>
      </c>
      <c r="H305" s="208"/>
      <c r="I305" s="208">
        <f>+B305*1</f>
        <v>0</v>
      </c>
      <c r="J305" s="209"/>
    </row>
    <row r="306" spans="1:10" hidden="1">
      <c r="A306">
        <f>+'input sheet'!A63</f>
        <v>0</v>
      </c>
      <c r="B306" s="52"/>
      <c r="C306" s="53"/>
      <c r="D306" s="53"/>
      <c r="E306" s="53"/>
      <c r="F306" s="4"/>
      <c r="G306" s="6"/>
      <c r="H306" s="6"/>
      <c r="I306" s="171"/>
      <c r="J306" s="3" t="s">
        <v>34</v>
      </c>
    </row>
    <row r="307" spans="1:10" hidden="1">
      <c r="B307" s="3">
        <f>+A306*2</f>
        <v>0</v>
      </c>
      <c r="C307" s="7">
        <f>+$C$6</f>
        <v>720</v>
      </c>
      <c r="D307" s="7">
        <f>+$C$7</f>
        <v>300</v>
      </c>
      <c r="E307" s="7">
        <v>1</v>
      </c>
      <c r="F307" s="4">
        <v>1</v>
      </c>
      <c r="G307" s="6" t="str">
        <f t="shared" si="55"/>
        <v>tbc</v>
      </c>
      <c r="H307" s="6" t="str">
        <f t="shared" si="60"/>
        <v>white</v>
      </c>
      <c r="I307" s="171"/>
      <c r="J307" s="3" t="s">
        <v>32</v>
      </c>
    </row>
    <row r="308" spans="1:10" hidden="1">
      <c r="B308" s="3">
        <f>+A306*2</f>
        <v>0</v>
      </c>
      <c r="C308" s="7">
        <f>+$C$7</f>
        <v>300</v>
      </c>
      <c r="D308" s="7">
        <f>+A305-32</f>
        <v>118</v>
      </c>
      <c r="E308" s="7"/>
      <c r="F308" s="4">
        <v>1</v>
      </c>
      <c r="G308" s="6" t="str">
        <f t="shared" si="55"/>
        <v>tbc</v>
      </c>
      <c r="H308" s="6" t="str">
        <f t="shared" si="60"/>
        <v>white</v>
      </c>
      <c r="I308" s="171"/>
      <c r="J308" s="3" t="s">
        <v>33</v>
      </c>
    </row>
    <row r="309" spans="1:10" hidden="1">
      <c r="B309" s="3">
        <f>+A306*1</f>
        <v>0</v>
      </c>
      <c r="C309" s="7">
        <f>+$C$6-32</f>
        <v>688</v>
      </c>
      <c r="D309" s="7">
        <f>+A305-32</f>
        <v>118</v>
      </c>
      <c r="E309" s="7"/>
      <c r="F309" s="4"/>
      <c r="G309" s="6" t="str">
        <f t="shared" si="55"/>
        <v>tbc</v>
      </c>
      <c r="H309" s="6" t="str">
        <f t="shared" si="60"/>
        <v>white</v>
      </c>
      <c r="I309" s="171"/>
      <c r="J309" s="3" t="s">
        <v>57</v>
      </c>
    </row>
    <row r="310" spans="1:10" hidden="1">
      <c r="B310" s="49">
        <f>+A306*1</f>
        <v>0</v>
      </c>
      <c r="C310" s="50">
        <f>+$C$7-26</f>
        <v>274</v>
      </c>
      <c r="D310" s="50">
        <f>+A305-32</f>
        <v>118</v>
      </c>
      <c r="E310" s="50"/>
      <c r="F310" s="4">
        <v>1</v>
      </c>
      <c r="G310" s="6" t="str">
        <f t="shared" si="55"/>
        <v>tbc</v>
      </c>
      <c r="H310" s="6" t="str">
        <f t="shared" si="60"/>
        <v>white</v>
      </c>
      <c r="I310" s="171"/>
      <c r="J310" s="3"/>
    </row>
    <row r="311" spans="1:10" ht="15.75" hidden="1" thickBot="1">
      <c r="A311" s="95">
        <f>+'input sheet'!B67</f>
        <v>900</v>
      </c>
      <c r="B311" s="92">
        <f>+A312</f>
        <v>0</v>
      </c>
      <c r="C311" s="93" t="s">
        <v>36</v>
      </c>
      <c r="D311" s="93"/>
      <c r="E311" s="94"/>
      <c r="F311" s="207">
        <f>+C313-3</f>
        <v>2293</v>
      </c>
      <c r="G311" s="208">
        <f>+A311/2-3</f>
        <v>447</v>
      </c>
      <c r="H311" s="208"/>
      <c r="I311" s="208">
        <f>+B311*2</f>
        <v>0</v>
      </c>
      <c r="J311" s="209"/>
    </row>
    <row r="312" spans="1:10" hidden="1">
      <c r="A312">
        <f>+'input sheet'!A67</f>
        <v>0</v>
      </c>
      <c r="B312" s="52"/>
      <c r="C312" s="53"/>
      <c r="D312" s="53"/>
      <c r="E312" s="53"/>
      <c r="F312" s="6"/>
      <c r="G312" s="6"/>
      <c r="H312" s="3"/>
      <c r="I312" s="3"/>
      <c r="J312" s="3"/>
    </row>
    <row r="313" spans="1:10" hidden="1">
      <c r="B313" s="3">
        <f>+A312*2</f>
        <v>0</v>
      </c>
      <c r="C313" s="7">
        <f>+$C$8</f>
        <v>2296</v>
      </c>
      <c r="D313" s="7">
        <f>+$C$9</f>
        <v>580</v>
      </c>
      <c r="E313" s="7">
        <v>1</v>
      </c>
      <c r="F313" s="6">
        <v>1</v>
      </c>
      <c r="G313" s="6" t="str">
        <f t="shared" ref="G313:G317" si="61">+F$2</f>
        <v>tbc</v>
      </c>
      <c r="H313" s="6" t="str">
        <f t="shared" ref="H313:H316" si="62">+F$1</f>
        <v>white</v>
      </c>
      <c r="I313" s="171"/>
      <c r="J313" s="3" t="s">
        <v>34</v>
      </c>
    </row>
    <row r="314" spans="1:10" hidden="1">
      <c r="B314" s="3">
        <f>+A312*2</f>
        <v>0</v>
      </c>
      <c r="C314" s="7">
        <f>+A$311-32</f>
        <v>868</v>
      </c>
      <c r="D314" s="7">
        <f>+$C$9</f>
        <v>580</v>
      </c>
      <c r="E314" s="7">
        <v>1</v>
      </c>
      <c r="F314" s="6"/>
      <c r="G314" s="6" t="str">
        <f t="shared" si="61"/>
        <v>tbc</v>
      </c>
      <c r="H314" s="6" t="str">
        <f t="shared" si="62"/>
        <v>white</v>
      </c>
      <c r="I314" s="171"/>
      <c r="J314" s="3" t="s">
        <v>32</v>
      </c>
    </row>
    <row r="315" spans="1:10" hidden="1">
      <c r="B315" s="3">
        <f>+A312*1</f>
        <v>0</v>
      </c>
      <c r="C315" s="7">
        <f>+$C$8-32</f>
        <v>2264</v>
      </c>
      <c r="D315" s="7">
        <f>+A$311-32</f>
        <v>868</v>
      </c>
      <c r="E315" s="7"/>
      <c r="F315" s="6"/>
      <c r="G315" s="6" t="str">
        <f t="shared" si="61"/>
        <v>tbc</v>
      </c>
      <c r="H315" s="6" t="str">
        <f t="shared" si="62"/>
        <v>white</v>
      </c>
      <c r="I315" s="171"/>
      <c r="J315" s="3" t="s">
        <v>33</v>
      </c>
    </row>
    <row r="316" spans="1:10" hidden="1">
      <c r="B316" s="3">
        <f>+A312*2</f>
        <v>0</v>
      </c>
      <c r="C316" s="7">
        <f>+A$311-32</f>
        <v>868</v>
      </c>
      <c r="D316" s="7">
        <f>+$C$9-18</f>
        <v>562</v>
      </c>
      <c r="E316" s="7">
        <v>1</v>
      </c>
      <c r="F316" s="6"/>
      <c r="G316" s="6" t="str">
        <f t="shared" si="61"/>
        <v>tbc</v>
      </c>
      <c r="H316" s="6" t="str">
        <f t="shared" si="62"/>
        <v>white</v>
      </c>
      <c r="I316" s="171"/>
      <c r="J316" s="3" t="s">
        <v>31</v>
      </c>
    </row>
    <row r="317" spans="1:10" hidden="1">
      <c r="B317" s="49">
        <f>+A312*3</f>
        <v>0</v>
      </c>
      <c r="C317" s="50">
        <f>+A$311-32</f>
        <v>868</v>
      </c>
      <c r="D317" s="50">
        <f>+D313-26</f>
        <v>554</v>
      </c>
      <c r="E317" s="50">
        <v>1</v>
      </c>
      <c r="F317" s="6"/>
      <c r="G317" s="6" t="str">
        <f t="shared" si="61"/>
        <v>tbc</v>
      </c>
      <c r="H317" s="6" t="str">
        <f t="shared" ref="H317" si="63">+F$1</f>
        <v>white</v>
      </c>
      <c r="I317" s="171"/>
      <c r="J317" s="3" t="s">
        <v>35</v>
      </c>
    </row>
    <row r="318" spans="1:10" ht="15.75" hidden="1" thickBot="1">
      <c r="A318" s="95">
        <f>+'input sheet'!E68</f>
        <v>920</v>
      </c>
      <c r="B318" s="92">
        <f>+A319</f>
        <v>0</v>
      </c>
      <c r="C318" s="93" t="s">
        <v>36</v>
      </c>
      <c r="D318" s="93">
        <f>+'input sheet'!C68</f>
        <v>920</v>
      </c>
      <c r="E318" s="94"/>
      <c r="F318" s="207">
        <f>+C320-3</f>
        <v>2293</v>
      </c>
      <c r="G318" s="208">
        <v>0</v>
      </c>
      <c r="H318" s="208"/>
      <c r="I318" s="208">
        <f>+B318*2</f>
        <v>0</v>
      </c>
      <c r="J318" s="209"/>
    </row>
    <row r="319" spans="1:10" hidden="1">
      <c r="A319">
        <f>+'input sheet'!A68</f>
        <v>0</v>
      </c>
      <c r="B319" s="52"/>
      <c r="C319" s="53"/>
      <c r="D319" s="53"/>
      <c r="E319" s="53"/>
      <c r="F319" s="144"/>
      <c r="G319" s="144"/>
      <c r="H319" s="3"/>
      <c r="I319" s="3"/>
      <c r="J319" s="3"/>
    </row>
    <row r="320" spans="1:10" hidden="1">
      <c r="B320" s="3">
        <f>+B318*2</f>
        <v>0</v>
      </c>
      <c r="C320" s="144">
        <f>+$C$8</f>
        <v>2296</v>
      </c>
      <c r="D320" s="144">
        <f>+$C$9</f>
        <v>580</v>
      </c>
      <c r="E320" s="144">
        <v>1</v>
      </c>
      <c r="F320" s="144">
        <v>1</v>
      </c>
      <c r="G320" s="144" t="str">
        <f t="shared" ref="G320:G326" si="64">+F$2</f>
        <v>tbc</v>
      </c>
      <c r="H320" s="144" t="str">
        <f t="shared" ref="H320:H326" si="65">+F$1</f>
        <v>white</v>
      </c>
      <c r="I320" s="171"/>
      <c r="J320" s="3" t="s">
        <v>34</v>
      </c>
    </row>
    <row r="321" spans="1:10" hidden="1">
      <c r="B321" s="3">
        <f>+B318*2</f>
        <v>0</v>
      </c>
      <c r="C321" s="144">
        <f>+'input sheet'!C68-32</f>
        <v>888</v>
      </c>
      <c r="D321" s="144">
        <f>+'input sheet'!E68-32</f>
        <v>888</v>
      </c>
      <c r="E321" s="144"/>
      <c r="F321" s="144"/>
      <c r="G321" s="144" t="str">
        <f t="shared" si="64"/>
        <v>tbc</v>
      </c>
      <c r="H321" s="144" t="str">
        <f t="shared" si="65"/>
        <v>white</v>
      </c>
      <c r="I321" s="171"/>
      <c r="J321" s="3" t="s">
        <v>32</v>
      </c>
    </row>
    <row r="322" spans="1:10" hidden="1">
      <c r="B322" s="3">
        <f>+A319*1</f>
        <v>0</v>
      </c>
      <c r="C322" s="144">
        <f>+$C$8</f>
        <v>2296</v>
      </c>
      <c r="D322" s="144">
        <v>300</v>
      </c>
      <c r="E322" s="144"/>
      <c r="F322" s="144"/>
      <c r="G322" s="144" t="str">
        <f t="shared" si="64"/>
        <v>tbc</v>
      </c>
      <c r="H322" s="144" t="str">
        <f t="shared" si="65"/>
        <v>white</v>
      </c>
      <c r="I322" s="171"/>
      <c r="J322" s="3" t="s">
        <v>33</v>
      </c>
    </row>
    <row r="323" spans="1:10" hidden="1">
      <c r="B323" s="3">
        <f>+B318*1</f>
        <v>0</v>
      </c>
      <c r="C323" s="170">
        <f>+$C$8</f>
        <v>2296</v>
      </c>
      <c r="D323" s="170">
        <f>+D318-244</f>
        <v>676</v>
      </c>
      <c r="E323" s="170"/>
      <c r="F323" s="170"/>
      <c r="G323" s="170" t="str">
        <f t="shared" ref="G323" si="66">+F$2</f>
        <v>tbc</v>
      </c>
      <c r="H323" s="170" t="str">
        <f t="shared" ref="H323" si="67">+F$1</f>
        <v>white</v>
      </c>
      <c r="I323" s="171"/>
      <c r="J323" s="3" t="s">
        <v>31</v>
      </c>
    </row>
    <row r="324" spans="1:10" hidden="1">
      <c r="B324" s="3">
        <f>+B318*1</f>
        <v>0</v>
      </c>
      <c r="C324" s="144">
        <f>+$C$8</f>
        <v>2296</v>
      </c>
      <c r="D324" s="144">
        <f>+A318-244</f>
        <v>676</v>
      </c>
      <c r="E324" s="144"/>
      <c r="F324" s="144"/>
      <c r="G324" s="144" t="str">
        <f t="shared" si="64"/>
        <v>tbc</v>
      </c>
      <c r="H324" s="144" t="str">
        <f t="shared" si="65"/>
        <v>white</v>
      </c>
      <c r="I324" s="171"/>
      <c r="J324" s="3" t="s">
        <v>31</v>
      </c>
    </row>
    <row r="325" spans="1:10" hidden="1">
      <c r="B325" s="49">
        <f>+B318*4</f>
        <v>0</v>
      </c>
      <c r="C325" s="50">
        <f>+C321</f>
        <v>888</v>
      </c>
      <c r="D325" s="50">
        <v>400</v>
      </c>
      <c r="E325" s="50">
        <v>1</v>
      </c>
      <c r="F325" s="144"/>
      <c r="G325" s="144" t="str">
        <f t="shared" ref="G325" si="68">+F$2</f>
        <v>tbc</v>
      </c>
      <c r="H325" s="144" t="str">
        <f t="shared" ref="H325" si="69">+F$1</f>
        <v>white</v>
      </c>
      <c r="I325" s="171"/>
      <c r="J325" s="145" t="s">
        <v>110</v>
      </c>
    </row>
    <row r="326" spans="1:10" hidden="1">
      <c r="B326" s="3">
        <f>+B318*4</f>
        <v>0</v>
      </c>
      <c r="C326" s="170">
        <f>+D321</f>
        <v>888</v>
      </c>
      <c r="D326" s="170">
        <v>350</v>
      </c>
      <c r="E326" s="233">
        <v>1</v>
      </c>
      <c r="F326" s="144"/>
      <c r="G326" s="144" t="str">
        <f t="shared" si="64"/>
        <v>tbc</v>
      </c>
      <c r="H326" s="144" t="str">
        <f t="shared" si="65"/>
        <v>white</v>
      </c>
      <c r="I326" s="171"/>
      <c r="J326" s="146" t="s">
        <v>111</v>
      </c>
    </row>
    <row r="327" spans="1:10" ht="15.75" hidden="1" thickBot="1">
      <c r="A327" s="95">
        <f>+'input sheet'!B69</f>
        <v>750</v>
      </c>
      <c r="B327" s="148">
        <f>+A328</f>
        <v>0</v>
      </c>
      <c r="C327" s="149" t="s">
        <v>36</v>
      </c>
      <c r="D327" s="149"/>
      <c r="E327" s="150"/>
      <c r="F327" s="207">
        <f>+C329-3</f>
        <v>2293</v>
      </c>
      <c r="G327" s="208">
        <f>+A327/2-3</f>
        <v>372</v>
      </c>
      <c r="H327" s="208"/>
      <c r="I327" s="208">
        <f>+B327*2</f>
        <v>0</v>
      </c>
      <c r="J327" s="209"/>
    </row>
    <row r="328" spans="1:10" hidden="1">
      <c r="A328">
        <f>+'input sheet'!A69</f>
        <v>0</v>
      </c>
      <c r="B328" s="52"/>
      <c r="C328" s="53"/>
      <c r="D328" s="53"/>
      <c r="E328" s="53"/>
      <c r="F328" s="6"/>
      <c r="G328" s="6"/>
      <c r="H328" s="3"/>
      <c r="I328" s="3"/>
      <c r="J328" s="3"/>
    </row>
    <row r="329" spans="1:10" hidden="1">
      <c r="B329" s="3">
        <f>+A328*2</f>
        <v>0</v>
      </c>
      <c r="C329" s="7">
        <f>+$C$8</f>
        <v>2296</v>
      </c>
      <c r="D329" s="7">
        <f>+$C$9</f>
        <v>580</v>
      </c>
      <c r="E329" s="7">
        <v>1</v>
      </c>
      <c r="F329" s="6">
        <v>1</v>
      </c>
      <c r="G329" s="6" t="str">
        <f t="shared" ref="G329:G333" si="70">+F$2</f>
        <v>tbc</v>
      </c>
      <c r="H329" s="6" t="str">
        <f t="shared" ref="H329:H332" si="71">+F$1</f>
        <v>white</v>
      </c>
      <c r="I329" s="171"/>
      <c r="J329" s="3" t="s">
        <v>34</v>
      </c>
    </row>
    <row r="330" spans="1:10" hidden="1">
      <c r="B330" s="3">
        <f>+A328*2</f>
        <v>0</v>
      </c>
      <c r="C330" s="7">
        <f>+A327-32</f>
        <v>718</v>
      </c>
      <c r="D330" s="7">
        <f>+$C$9</f>
        <v>580</v>
      </c>
      <c r="E330" s="7">
        <v>1</v>
      </c>
      <c r="F330" s="6"/>
      <c r="G330" s="6" t="str">
        <f t="shared" si="70"/>
        <v>tbc</v>
      </c>
      <c r="H330" s="6" t="str">
        <f t="shared" si="71"/>
        <v>white</v>
      </c>
      <c r="I330" s="171"/>
      <c r="J330" s="3" t="s">
        <v>32</v>
      </c>
    </row>
    <row r="331" spans="1:10" hidden="1">
      <c r="B331" s="3">
        <f>+A328*1</f>
        <v>0</v>
      </c>
      <c r="C331" s="7">
        <f>+$C$8-32</f>
        <v>2264</v>
      </c>
      <c r="D331" s="7">
        <f>+A327-32</f>
        <v>718</v>
      </c>
      <c r="E331" s="7"/>
      <c r="F331" s="6"/>
      <c r="G331" s="6" t="str">
        <f t="shared" si="70"/>
        <v>tbc</v>
      </c>
      <c r="H331" s="6" t="str">
        <f t="shared" si="71"/>
        <v>white</v>
      </c>
      <c r="I331" s="171"/>
      <c r="J331" s="3" t="s">
        <v>33</v>
      </c>
    </row>
    <row r="332" spans="1:10" hidden="1">
      <c r="B332" s="3">
        <f>+A328*2</f>
        <v>0</v>
      </c>
      <c r="C332" s="7">
        <f>+A327-32</f>
        <v>718</v>
      </c>
      <c r="D332" s="7">
        <f>+$C$9-18</f>
        <v>562</v>
      </c>
      <c r="E332" s="7">
        <v>1</v>
      </c>
      <c r="F332" s="6"/>
      <c r="G332" s="6" t="str">
        <f t="shared" si="70"/>
        <v>tbc</v>
      </c>
      <c r="H332" s="6" t="str">
        <f t="shared" si="71"/>
        <v>white</v>
      </c>
      <c r="I332" s="171"/>
      <c r="J332" s="3" t="s">
        <v>31</v>
      </c>
    </row>
    <row r="333" spans="1:10" hidden="1">
      <c r="B333" s="49">
        <f>+A328*3</f>
        <v>0</v>
      </c>
      <c r="C333" s="50">
        <f>+A327-32</f>
        <v>718</v>
      </c>
      <c r="D333" s="50">
        <f>+D329-26</f>
        <v>554</v>
      </c>
      <c r="E333" s="50">
        <v>1</v>
      </c>
      <c r="F333" s="6"/>
      <c r="G333" s="6" t="str">
        <f t="shared" si="70"/>
        <v>tbc</v>
      </c>
      <c r="H333" s="6" t="str">
        <f t="shared" ref="H333" si="72">+F$1</f>
        <v>white</v>
      </c>
      <c r="I333" s="171"/>
      <c r="J333" s="3" t="s">
        <v>35</v>
      </c>
    </row>
    <row r="334" spans="1:10" ht="15.75" hidden="1" thickBot="1">
      <c r="A334" s="95">
        <f>+'input sheet'!B70</f>
        <v>600</v>
      </c>
      <c r="B334" s="92">
        <f>+A335</f>
        <v>0</v>
      </c>
      <c r="C334" s="93" t="s">
        <v>36</v>
      </c>
      <c r="D334" s="93"/>
      <c r="E334" s="94"/>
      <c r="F334" s="207">
        <f>+C336-3</f>
        <v>2293</v>
      </c>
      <c r="G334" s="208">
        <f>+A334-3</f>
        <v>597</v>
      </c>
      <c r="H334" s="208"/>
      <c r="I334" s="208">
        <f>+B334*1</f>
        <v>0</v>
      </c>
      <c r="J334" s="209"/>
    </row>
    <row r="335" spans="1:10" hidden="1">
      <c r="A335">
        <f>+'input sheet'!A70</f>
        <v>0</v>
      </c>
      <c r="B335" s="52"/>
      <c r="C335" s="53"/>
      <c r="D335" s="53"/>
      <c r="E335" s="53"/>
      <c r="F335" s="6"/>
      <c r="G335" s="6"/>
      <c r="H335" s="3"/>
      <c r="I335" s="3"/>
      <c r="J335" s="3"/>
    </row>
    <row r="336" spans="1:10" hidden="1">
      <c r="B336" s="3">
        <f>+A335*2</f>
        <v>0</v>
      </c>
      <c r="C336" s="7">
        <f>+$C$8</f>
        <v>2296</v>
      </c>
      <c r="D336" s="7">
        <f>+$C$9</f>
        <v>580</v>
      </c>
      <c r="E336" s="7">
        <v>1</v>
      </c>
      <c r="F336" s="6">
        <v>1</v>
      </c>
      <c r="G336" s="6" t="str">
        <f t="shared" ref="G336:G340" si="73">+F$2</f>
        <v>tbc</v>
      </c>
      <c r="H336" s="6" t="str">
        <f t="shared" ref="H336:H340" si="74">+F$1</f>
        <v>white</v>
      </c>
      <c r="I336" s="171"/>
      <c r="J336" s="3" t="s">
        <v>34</v>
      </c>
    </row>
    <row r="337" spans="1:10" hidden="1">
      <c r="B337" s="3">
        <f>+A335*2</f>
        <v>0</v>
      </c>
      <c r="C337" s="7">
        <f>+A334-32</f>
        <v>568</v>
      </c>
      <c r="D337" s="7">
        <f>+$C$9</f>
        <v>580</v>
      </c>
      <c r="E337" s="7">
        <v>1</v>
      </c>
      <c r="F337" s="6"/>
      <c r="G337" s="6" t="str">
        <f t="shared" si="73"/>
        <v>tbc</v>
      </c>
      <c r="H337" s="6" t="str">
        <f t="shared" si="74"/>
        <v>white</v>
      </c>
      <c r="I337" s="171"/>
      <c r="J337" s="3" t="s">
        <v>32</v>
      </c>
    </row>
    <row r="338" spans="1:10" hidden="1">
      <c r="B338" s="3">
        <f>+A335*1</f>
        <v>0</v>
      </c>
      <c r="C338" s="7">
        <f>+$C$8-32</f>
        <v>2264</v>
      </c>
      <c r="D338" s="7">
        <f>+A334-32</f>
        <v>568</v>
      </c>
      <c r="E338" s="7"/>
      <c r="F338" s="6"/>
      <c r="G338" s="6" t="str">
        <f t="shared" si="73"/>
        <v>tbc</v>
      </c>
      <c r="H338" s="6" t="str">
        <f t="shared" si="74"/>
        <v>white</v>
      </c>
      <c r="I338" s="171"/>
      <c r="J338" s="3" t="s">
        <v>33</v>
      </c>
    </row>
    <row r="339" spans="1:10" hidden="1">
      <c r="B339" s="3">
        <f>+A335*2</f>
        <v>0</v>
      </c>
      <c r="C339" s="7">
        <f>+A334-32</f>
        <v>568</v>
      </c>
      <c r="D339" s="7">
        <f>+$C$9-18</f>
        <v>562</v>
      </c>
      <c r="E339" s="7">
        <v>1</v>
      </c>
      <c r="F339" s="6"/>
      <c r="G339" s="6" t="str">
        <f t="shared" si="73"/>
        <v>tbc</v>
      </c>
      <c r="H339" s="6" t="str">
        <f t="shared" si="74"/>
        <v>white</v>
      </c>
      <c r="I339" s="171"/>
      <c r="J339" s="3" t="s">
        <v>31</v>
      </c>
    </row>
    <row r="340" spans="1:10" hidden="1">
      <c r="B340" s="49">
        <f>+A335*3</f>
        <v>0</v>
      </c>
      <c r="C340" s="50">
        <f>+A334-32</f>
        <v>568</v>
      </c>
      <c r="D340" s="50">
        <f>+D336-26</f>
        <v>554</v>
      </c>
      <c r="E340" s="50">
        <v>1</v>
      </c>
      <c r="F340" s="6"/>
      <c r="G340" s="6" t="str">
        <f t="shared" si="73"/>
        <v>tbc</v>
      </c>
      <c r="H340" s="6" t="str">
        <f t="shared" si="74"/>
        <v>white</v>
      </c>
      <c r="I340" s="171"/>
      <c r="J340" s="3" t="s">
        <v>35</v>
      </c>
    </row>
    <row r="341" spans="1:10" ht="15.75" hidden="1" thickBot="1">
      <c r="A341" s="95">
        <f>+'input sheet'!B74</f>
        <v>450</v>
      </c>
      <c r="B341" s="92">
        <f>+A342</f>
        <v>0</v>
      </c>
      <c r="C341" s="93" t="s">
        <v>36</v>
      </c>
      <c r="D341" s="93"/>
      <c r="E341" s="94"/>
      <c r="F341" s="207">
        <f>+C343-3</f>
        <v>2293</v>
      </c>
      <c r="G341" s="208">
        <f>+A341-3</f>
        <v>447</v>
      </c>
      <c r="H341" s="208"/>
      <c r="I341" s="208">
        <f>+B341*1</f>
        <v>0</v>
      </c>
      <c r="J341" s="209"/>
    </row>
    <row r="342" spans="1:10" hidden="1">
      <c r="A342">
        <f>+'input sheet'!A74</f>
        <v>0</v>
      </c>
      <c r="B342" s="52"/>
      <c r="C342" s="53"/>
      <c r="D342" s="53"/>
      <c r="E342" s="53"/>
      <c r="F342" s="6"/>
      <c r="G342" s="6"/>
      <c r="H342" s="3"/>
      <c r="I342" s="3"/>
      <c r="J342" s="3"/>
    </row>
    <row r="343" spans="1:10" hidden="1">
      <c r="B343" s="3">
        <f>+A342*2</f>
        <v>0</v>
      </c>
      <c r="C343" s="5">
        <f>+C8</f>
        <v>2296</v>
      </c>
      <c r="D343" s="5">
        <f>+C9</f>
        <v>580</v>
      </c>
      <c r="E343" s="5">
        <v>1</v>
      </c>
      <c r="F343" s="5">
        <v>1</v>
      </c>
      <c r="G343" s="6" t="str">
        <f t="shared" ref="G343:G344" si="75">+F$2</f>
        <v>tbc</v>
      </c>
      <c r="H343" s="6" t="str">
        <f t="shared" ref="H343:H344" si="76">+F$1</f>
        <v>white</v>
      </c>
      <c r="I343" s="171"/>
      <c r="J343" s="3" t="s">
        <v>34</v>
      </c>
    </row>
    <row r="344" spans="1:10" hidden="1">
      <c r="B344" s="3">
        <f>+A342*2</f>
        <v>0</v>
      </c>
      <c r="C344" s="5">
        <f>+D343</f>
        <v>580</v>
      </c>
      <c r="D344" s="5">
        <f>+A341-32</f>
        <v>418</v>
      </c>
      <c r="E344" s="5"/>
      <c r="F344" s="5">
        <v>1</v>
      </c>
      <c r="G344" s="6" t="str">
        <f t="shared" si="75"/>
        <v>tbc</v>
      </c>
      <c r="H344" s="6" t="str">
        <f t="shared" si="76"/>
        <v>white</v>
      </c>
      <c r="I344" s="171"/>
      <c r="J344" s="3" t="s">
        <v>32</v>
      </c>
    </row>
    <row r="345" spans="1:10" hidden="1">
      <c r="B345" s="3">
        <f>+A342</f>
        <v>0</v>
      </c>
      <c r="C345" s="5">
        <f>+C343-32</f>
        <v>2264</v>
      </c>
      <c r="D345" s="5">
        <f>+C344</f>
        <v>580</v>
      </c>
      <c r="E345" s="5"/>
      <c r="F345" s="5"/>
      <c r="G345" s="169" t="str">
        <f t="shared" ref="G345:G347" si="77">+F$2</f>
        <v>tbc</v>
      </c>
      <c r="H345" s="169" t="str">
        <f t="shared" ref="H345:H347" si="78">+F$1</f>
        <v>white</v>
      </c>
      <c r="I345" s="171"/>
      <c r="J345" s="3" t="s">
        <v>33</v>
      </c>
    </row>
    <row r="346" spans="1:10" hidden="1">
      <c r="B346" s="3">
        <f>+A342</f>
        <v>0</v>
      </c>
      <c r="C346" s="5">
        <f>+C344-17</f>
        <v>563</v>
      </c>
      <c r="D346" s="5">
        <f>+D344</f>
        <v>418</v>
      </c>
      <c r="E346" s="5"/>
      <c r="F346" s="5">
        <v>1</v>
      </c>
      <c r="G346" s="169" t="str">
        <f t="shared" si="77"/>
        <v>tbc</v>
      </c>
      <c r="H346" s="169" t="str">
        <f t="shared" si="78"/>
        <v>white</v>
      </c>
      <c r="I346" s="171"/>
      <c r="J346" s="3" t="s">
        <v>31</v>
      </c>
    </row>
    <row r="347" spans="1:10" hidden="1">
      <c r="B347" s="3">
        <f>+A342*4</f>
        <v>0</v>
      </c>
      <c r="C347" s="5">
        <f>+C346-10</f>
        <v>553</v>
      </c>
      <c r="D347" s="5">
        <f>+D346</f>
        <v>418</v>
      </c>
      <c r="E347" s="5"/>
      <c r="F347" s="5"/>
      <c r="G347" s="169" t="str">
        <f t="shared" si="77"/>
        <v>tbc</v>
      </c>
      <c r="H347" s="169" t="str">
        <f t="shared" si="78"/>
        <v>white</v>
      </c>
      <c r="I347" s="171"/>
      <c r="J347" s="3" t="s">
        <v>35</v>
      </c>
    </row>
    <row r="348" spans="1:10" ht="15.75" hidden="1" thickBot="1">
      <c r="A348" s="95">
        <f>+'input sheet'!B75</f>
        <v>300</v>
      </c>
      <c r="B348" s="148">
        <f>+A349</f>
        <v>0</v>
      </c>
      <c r="C348" s="149" t="s">
        <v>36</v>
      </c>
      <c r="D348" s="149"/>
      <c r="E348" s="150"/>
      <c r="F348" s="207">
        <f>+C350-3</f>
        <v>2293</v>
      </c>
      <c r="G348" s="208">
        <f>+A348-3</f>
        <v>297</v>
      </c>
      <c r="H348" s="208"/>
      <c r="I348" s="208">
        <f>+B348*1</f>
        <v>0</v>
      </c>
      <c r="J348" s="209"/>
    </row>
    <row r="349" spans="1:10" hidden="1">
      <c r="A349">
        <f>+'input sheet'!A75</f>
        <v>0</v>
      </c>
      <c r="B349" s="52"/>
      <c r="C349" s="53"/>
      <c r="D349" s="53"/>
      <c r="E349" s="53"/>
      <c r="F349" s="6"/>
      <c r="G349" s="6"/>
      <c r="H349" s="3"/>
      <c r="I349" s="3"/>
      <c r="J349" s="3"/>
    </row>
    <row r="350" spans="1:10" hidden="1">
      <c r="B350" s="3">
        <f>+A349*2</f>
        <v>0</v>
      </c>
      <c r="C350" s="7">
        <f>+$C$8</f>
        <v>2296</v>
      </c>
      <c r="D350" s="7">
        <f>+$C$9</f>
        <v>580</v>
      </c>
      <c r="E350" s="7">
        <v>1</v>
      </c>
      <c r="F350" s="6">
        <v>1</v>
      </c>
      <c r="G350" s="6" t="str">
        <f t="shared" ref="G350:G354" si="79">+F$2</f>
        <v>tbc</v>
      </c>
      <c r="H350" s="6" t="str">
        <f t="shared" ref="H350:H354" si="80">+F$1</f>
        <v>white</v>
      </c>
      <c r="I350" s="171"/>
      <c r="J350" s="3" t="s">
        <v>34</v>
      </c>
    </row>
    <row r="351" spans="1:10" hidden="1">
      <c r="B351" s="3">
        <f>+A349*2</f>
        <v>0</v>
      </c>
      <c r="C351" s="7">
        <f>+$C$9</f>
        <v>580</v>
      </c>
      <c r="D351" s="7">
        <f>+A348-32</f>
        <v>268</v>
      </c>
      <c r="E351" s="7"/>
      <c r="F351" s="6">
        <v>1</v>
      </c>
      <c r="G351" s="6" t="str">
        <f t="shared" si="79"/>
        <v>tbc</v>
      </c>
      <c r="H351" s="6" t="str">
        <f t="shared" si="80"/>
        <v>white</v>
      </c>
      <c r="I351" s="171"/>
      <c r="J351" s="3" t="s">
        <v>32</v>
      </c>
    </row>
    <row r="352" spans="1:10" hidden="1">
      <c r="B352" s="3">
        <f>+A349*1</f>
        <v>0</v>
      </c>
      <c r="C352" s="7">
        <f>+$C$8-32</f>
        <v>2264</v>
      </c>
      <c r="D352" s="7">
        <f>+A348-32</f>
        <v>268</v>
      </c>
      <c r="E352" s="7"/>
      <c r="F352" s="6"/>
      <c r="G352" s="6" t="str">
        <f t="shared" si="79"/>
        <v>tbc</v>
      </c>
      <c r="H352" s="6" t="str">
        <f t="shared" si="80"/>
        <v>white</v>
      </c>
      <c r="I352" s="171"/>
      <c r="J352" s="3" t="s">
        <v>33</v>
      </c>
    </row>
    <row r="353" spans="1:10" hidden="1">
      <c r="B353" s="3">
        <f>+A349*2</f>
        <v>0</v>
      </c>
      <c r="C353" s="7">
        <f>+$C$9-18</f>
        <v>562</v>
      </c>
      <c r="D353" s="7">
        <f>+A348-32</f>
        <v>268</v>
      </c>
      <c r="E353" s="7"/>
      <c r="F353" s="6">
        <v>1</v>
      </c>
      <c r="G353" s="6" t="str">
        <f t="shared" si="79"/>
        <v>tbc</v>
      </c>
      <c r="H353" s="6" t="str">
        <f t="shared" si="80"/>
        <v>white</v>
      </c>
      <c r="I353" s="171"/>
      <c r="J353" s="3" t="s">
        <v>31</v>
      </c>
    </row>
    <row r="354" spans="1:10" hidden="1">
      <c r="B354" s="49">
        <f>+A349*3</f>
        <v>0</v>
      </c>
      <c r="C354" s="50">
        <f>+C9-26</f>
        <v>554</v>
      </c>
      <c r="D354" s="50">
        <f>+A348-32</f>
        <v>268</v>
      </c>
      <c r="E354" s="50"/>
      <c r="F354" s="6">
        <v>1</v>
      </c>
      <c r="G354" s="6" t="str">
        <f t="shared" si="79"/>
        <v>tbc</v>
      </c>
      <c r="H354" s="6" t="str">
        <f t="shared" si="80"/>
        <v>white</v>
      </c>
      <c r="I354" s="171"/>
      <c r="J354" s="3" t="s">
        <v>35</v>
      </c>
    </row>
    <row r="355" spans="1:10" ht="15.75" hidden="1" thickBot="1">
      <c r="A355" s="99">
        <f>+'input sheet'!B80</f>
        <v>600</v>
      </c>
      <c r="B355" s="96">
        <f>+A356</f>
        <v>0</v>
      </c>
      <c r="C355" s="97" t="s">
        <v>39</v>
      </c>
      <c r="D355" s="97"/>
      <c r="E355" s="98"/>
      <c r="F355" s="207">
        <f>+C357-3</f>
        <v>2293</v>
      </c>
      <c r="G355" s="208">
        <f>+A355-3</f>
        <v>597</v>
      </c>
      <c r="H355" s="208"/>
      <c r="I355" s="208">
        <f>+B355*1</f>
        <v>0</v>
      </c>
      <c r="J355" s="209"/>
    </row>
    <row r="356" spans="1:10" hidden="1">
      <c r="A356">
        <f>+'input sheet'!A80</f>
        <v>0</v>
      </c>
      <c r="B356" s="52"/>
      <c r="C356" s="53"/>
      <c r="D356" s="53"/>
      <c r="E356" s="53"/>
      <c r="F356" s="6"/>
      <c r="G356" s="6"/>
      <c r="H356" s="3"/>
      <c r="I356" s="3"/>
      <c r="J356" s="3"/>
    </row>
    <row r="357" spans="1:10" hidden="1">
      <c r="B357" s="3">
        <f>+A356*2</f>
        <v>0</v>
      </c>
      <c r="C357" s="7">
        <f>+$C$8</f>
        <v>2296</v>
      </c>
      <c r="D357" s="7">
        <f>+$C$9</f>
        <v>580</v>
      </c>
      <c r="E357" s="7">
        <v>1</v>
      </c>
      <c r="F357" s="6">
        <v>1</v>
      </c>
      <c r="G357" s="6" t="str">
        <f t="shared" ref="G357:G361" si="81">+F$2</f>
        <v>tbc</v>
      </c>
      <c r="H357" s="6" t="str">
        <f t="shared" ref="H357:H361" si="82">+F$1</f>
        <v>white</v>
      </c>
      <c r="I357" s="171"/>
      <c r="J357" s="3" t="s">
        <v>34</v>
      </c>
    </row>
    <row r="358" spans="1:10" hidden="1">
      <c r="B358" s="3">
        <f>+B355*2</f>
        <v>0</v>
      </c>
      <c r="C358" s="7">
        <f>+A355-32</f>
        <v>568</v>
      </c>
      <c r="D358" s="7">
        <f>+$C$9</f>
        <v>580</v>
      </c>
      <c r="E358" s="7">
        <v>1</v>
      </c>
      <c r="F358" s="6"/>
      <c r="G358" s="6" t="str">
        <f t="shared" si="81"/>
        <v>tbc</v>
      </c>
      <c r="H358" s="6" t="str">
        <f t="shared" si="82"/>
        <v>white</v>
      </c>
      <c r="I358" s="171"/>
      <c r="J358" s="3" t="s">
        <v>32</v>
      </c>
    </row>
    <row r="359" spans="1:10" hidden="1">
      <c r="B359" s="3">
        <f>+A356*1</f>
        <v>0</v>
      </c>
      <c r="C359" s="7">
        <f>+C357-33</f>
        <v>2263</v>
      </c>
      <c r="D359" s="7">
        <f>+A355-32</f>
        <v>568</v>
      </c>
      <c r="E359" s="7"/>
      <c r="F359" s="6"/>
      <c r="G359" s="6" t="str">
        <f t="shared" si="81"/>
        <v>tbc</v>
      </c>
      <c r="H359" s="6" t="str">
        <f t="shared" si="82"/>
        <v>white</v>
      </c>
      <c r="I359" s="171"/>
      <c r="J359" s="3" t="s">
        <v>33</v>
      </c>
    </row>
    <row r="360" spans="1:10" hidden="1">
      <c r="B360" s="3">
        <f>+B355</f>
        <v>0</v>
      </c>
      <c r="C360" s="7">
        <f>+A355-32</f>
        <v>568</v>
      </c>
      <c r="D360" s="7">
        <f>+D358-17</f>
        <v>563</v>
      </c>
      <c r="E360" s="7">
        <v>1</v>
      </c>
      <c r="F360" s="6"/>
      <c r="G360" s="6" t="str">
        <f t="shared" si="81"/>
        <v>tbc</v>
      </c>
      <c r="H360" s="6" t="str">
        <f t="shared" si="82"/>
        <v>white</v>
      </c>
      <c r="I360" s="171"/>
      <c r="J360" s="3" t="s">
        <v>31</v>
      </c>
    </row>
    <row r="361" spans="1:10" hidden="1">
      <c r="B361" s="3">
        <f>+B355</f>
        <v>0</v>
      </c>
      <c r="C361" s="7">
        <f>+A355-32</f>
        <v>568</v>
      </c>
      <c r="D361" s="7">
        <f>+D357-26</f>
        <v>554</v>
      </c>
      <c r="E361" s="7">
        <v>1</v>
      </c>
      <c r="F361" s="6"/>
      <c r="G361" s="6" t="str">
        <f t="shared" si="81"/>
        <v>tbc</v>
      </c>
      <c r="H361" s="6" t="str">
        <f t="shared" si="82"/>
        <v>white</v>
      </c>
      <c r="I361" s="171"/>
      <c r="J361" s="3" t="s">
        <v>35</v>
      </c>
    </row>
    <row r="362" spans="1:10" ht="15.75" hidden="1" thickBot="1">
      <c r="A362" s="99">
        <f>+'input sheet'!B81</f>
        <v>450</v>
      </c>
      <c r="B362" s="101">
        <f>+A363</f>
        <v>0</v>
      </c>
      <c r="C362" s="102" t="s">
        <v>39</v>
      </c>
      <c r="D362" s="102"/>
      <c r="E362" s="103"/>
      <c r="F362" s="207">
        <f>+C364-3</f>
        <v>2293</v>
      </c>
      <c r="G362" s="208">
        <f>+A362-3</f>
        <v>447</v>
      </c>
      <c r="H362" s="208"/>
      <c r="I362" s="208">
        <f>+B362*1</f>
        <v>0</v>
      </c>
      <c r="J362" s="209"/>
    </row>
    <row r="363" spans="1:10" hidden="1">
      <c r="A363">
        <f>+'input sheet'!A81</f>
        <v>0</v>
      </c>
      <c r="B363" s="52"/>
      <c r="C363" s="53"/>
      <c r="D363" s="53"/>
      <c r="E363" s="53"/>
      <c r="F363" s="6"/>
      <c r="G363" s="6"/>
      <c r="H363" s="3"/>
      <c r="I363" s="3"/>
      <c r="J363" s="3"/>
    </row>
    <row r="364" spans="1:10" hidden="1">
      <c r="B364" s="3">
        <f>+A363*2</f>
        <v>0</v>
      </c>
      <c r="C364" s="7">
        <f>+$C$8</f>
        <v>2296</v>
      </c>
      <c r="D364" s="7">
        <f>+$C$9</f>
        <v>580</v>
      </c>
      <c r="E364" s="7">
        <v>1</v>
      </c>
      <c r="F364" s="6">
        <v>1</v>
      </c>
      <c r="G364" s="6" t="str">
        <f t="shared" ref="G364:G368" si="83">+F$2</f>
        <v>tbc</v>
      </c>
      <c r="H364" s="6" t="str">
        <f t="shared" ref="H364:H368" si="84">+F$1</f>
        <v>white</v>
      </c>
      <c r="I364" s="171"/>
      <c r="J364" s="3" t="s">
        <v>34</v>
      </c>
    </row>
    <row r="365" spans="1:10" hidden="1">
      <c r="B365" s="3">
        <f>+A363*2</f>
        <v>0</v>
      </c>
      <c r="C365" s="7">
        <f>+$C$9</f>
        <v>580</v>
      </c>
      <c r="D365" s="7">
        <f>+A362-32</f>
        <v>418</v>
      </c>
      <c r="E365" s="7"/>
      <c r="F365" s="6">
        <v>1</v>
      </c>
      <c r="G365" s="6" t="str">
        <f t="shared" si="83"/>
        <v>tbc</v>
      </c>
      <c r="H365" s="6" t="str">
        <f t="shared" si="84"/>
        <v>white</v>
      </c>
      <c r="I365" s="171"/>
      <c r="J365" s="3" t="s">
        <v>32</v>
      </c>
    </row>
    <row r="366" spans="1:10" hidden="1">
      <c r="B366" s="3">
        <f>+A363*1</f>
        <v>0</v>
      </c>
      <c r="C366" s="7">
        <f>+$C$8-32</f>
        <v>2264</v>
      </c>
      <c r="D366" s="7">
        <f>+A362-32</f>
        <v>418</v>
      </c>
      <c r="E366" s="7"/>
      <c r="F366" s="6"/>
      <c r="G366" s="6" t="str">
        <f t="shared" si="83"/>
        <v>tbc</v>
      </c>
      <c r="H366" s="6" t="str">
        <f t="shared" si="84"/>
        <v>white</v>
      </c>
      <c r="I366" s="171"/>
      <c r="J366" s="3" t="s">
        <v>33</v>
      </c>
    </row>
    <row r="367" spans="1:10" hidden="1">
      <c r="B367" s="3">
        <f>+B362</f>
        <v>0</v>
      </c>
      <c r="C367" s="7">
        <f>+$C$9-18</f>
        <v>562</v>
      </c>
      <c r="D367" s="7">
        <f>+A362-32</f>
        <v>418</v>
      </c>
      <c r="E367" s="7"/>
      <c r="F367" s="6">
        <v>1</v>
      </c>
      <c r="G367" s="6" t="str">
        <f t="shared" si="83"/>
        <v>tbc</v>
      </c>
      <c r="H367" s="6" t="str">
        <f t="shared" si="84"/>
        <v>white</v>
      </c>
      <c r="I367" s="171"/>
      <c r="J367" s="3" t="s">
        <v>31</v>
      </c>
    </row>
    <row r="368" spans="1:10" hidden="1">
      <c r="B368" s="3">
        <f>+A363*1</f>
        <v>0</v>
      </c>
      <c r="C368" s="251">
        <f>+C9-26</f>
        <v>554</v>
      </c>
      <c r="D368" s="251">
        <f>+A362-32</f>
        <v>418</v>
      </c>
      <c r="E368" s="251"/>
      <c r="F368" s="6">
        <v>1</v>
      </c>
      <c r="G368" s="6" t="str">
        <f t="shared" si="83"/>
        <v>tbc</v>
      </c>
      <c r="H368" s="6" t="str">
        <f t="shared" si="84"/>
        <v>white</v>
      </c>
      <c r="I368" s="171"/>
      <c r="J368" s="3" t="s">
        <v>35</v>
      </c>
    </row>
    <row r="369" spans="1:10" ht="15.75" hidden="1" thickBot="1">
      <c r="A369" s="99">
        <f>+'input sheet'!B82</f>
        <v>300</v>
      </c>
      <c r="B369" s="101">
        <f>+A370</f>
        <v>0</v>
      </c>
      <c r="C369" s="102" t="s">
        <v>39</v>
      </c>
      <c r="D369" s="102"/>
      <c r="E369" s="103"/>
      <c r="F369" s="207">
        <f>+C371-3</f>
        <v>2293</v>
      </c>
      <c r="G369" s="208">
        <f>+A369-3</f>
        <v>297</v>
      </c>
      <c r="H369" s="208"/>
      <c r="I369" s="208">
        <f>+B369*1</f>
        <v>0</v>
      </c>
      <c r="J369" s="209"/>
    </row>
    <row r="370" spans="1:10" hidden="1">
      <c r="A370">
        <f>+'input sheet'!A82</f>
        <v>0</v>
      </c>
      <c r="B370" s="52"/>
      <c r="C370" s="53"/>
      <c r="D370" s="53"/>
      <c r="E370" s="53"/>
      <c r="F370" s="6"/>
      <c r="G370" s="6"/>
      <c r="H370" s="3"/>
      <c r="I370" s="3"/>
      <c r="J370" s="3"/>
    </row>
    <row r="371" spans="1:10" hidden="1">
      <c r="B371" s="3">
        <f>+A370*2</f>
        <v>0</v>
      </c>
      <c r="C371" s="7">
        <f>+$C$8</f>
        <v>2296</v>
      </c>
      <c r="D371" s="7">
        <f>+$C$9</f>
        <v>580</v>
      </c>
      <c r="E371" s="7">
        <v>1</v>
      </c>
      <c r="F371" s="6">
        <v>1</v>
      </c>
      <c r="G371" s="6" t="str">
        <f t="shared" ref="G371:G375" si="85">+F$2</f>
        <v>tbc</v>
      </c>
      <c r="H371" s="6" t="str">
        <f t="shared" ref="H371:H375" si="86">+F$1</f>
        <v>white</v>
      </c>
      <c r="I371" s="171"/>
      <c r="J371" s="3" t="s">
        <v>34</v>
      </c>
    </row>
    <row r="372" spans="1:10" hidden="1">
      <c r="B372" s="3">
        <f>+A370*2</f>
        <v>0</v>
      </c>
      <c r="C372" s="7">
        <f>+$C$9</f>
        <v>580</v>
      </c>
      <c r="D372" s="7">
        <f>+A369-32</f>
        <v>268</v>
      </c>
      <c r="E372" s="7"/>
      <c r="F372" s="6">
        <v>1</v>
      </c>
      <c r="G372" s="6" t="str">
        <f t="shared" si="85"/>
        <v>tbc</v>
      </c>
      <c r="H372" s="6" t="str">
        <f t="shared" si="86"/>
        <v>white</v>
      </c>
      <c r="I372" s="171"/>
      <c r="J372" s="3" t="s">
        <v>32</v>
      </c>
    </row>
    <row r="373" spans="1:10" hidden="1">
      <c r="B373" s="3">
        <f>+A370*1</f>
        <v>0</v>
      </c>
      <c r="C373" s="7">
        <f>+$C$8-32</f>
        <v>2264</v>
      </c>
      <c r="D373" s="7">
        <f>+A369-32</f>
        <v>268</v>
      </c>
      <c r="E373" s="7"/>
      <c r="F373" s="6"/>
      <c r="G373" s="6" t="str">
        <f t="shared" si="85"/>
        <v>tbc</v>
      </c>
      <c r="H373" s="6" t="str">
        <f t="shared" si="86"/>
        <v>white</v>
      </c>
      <c r="I373" s="171"/>
      <c r="J373" s="3" t="s">
        <v>33</v>
      </c>
    </row>
    <row r="374" spans="1:10" hidden="1">
      <c r="B374" s="3">
        <f>+A370*2</f>
        <v>0</v>
      </c>
      <c r="C374" s="7">
        <f>+$C$9-18</f>
        <v>562</v>
      </c>
      <c r="D374" s="7">
        <f>+A369-32</f>
        <v>268</v>
      </c>
      <c r="E374" s="7"/>
      <c r="F374" s="6">
        <v>1</v>
      </c>
      <c r="G374" s="6" t="str">
        <f t="shared" si="85"/>
        <v>tbc</v>
      </c>
      <c r="H374" s="6" t="str">
        <f t="shared" si="86"/>
        <v>white</v>
      </c>
      <c r="I374" s="171"/>
      <c r="J374" s="3" t="s">
        <v>31</v>
      </c>
    </row>
    <row r="375" spans="1:10" hidden="1">
      <c r="B375" s="3">
        <f>+B369</f>
        <v>0</v>
      </c>
      <c r="C375" s="206">
        <f>+C9-26</f>
        <v>554</v>
      </c>
      <c r="D375" s="206">
        <f>+A369-32</f>
        <v>268</v>
      </c>
      <c r="E375" s="206"/>
      <c r="F375" s="206">
        <v>1</v>
      </c>
      <c r="G375" s="206" t="str">
        <f t="shared" si="85"/>
        <v>tbc</v>
      </c>
      <c r="H375" s="206" t="str">
        <f t="shared" si="86"/>
        <v>white</v>
      </c>
      <c r="I375" s="206"/>
      <c r="J375" s="3" t="s">
        <v>35</v>
      </c>
    </row>
    <row r="376" spans="1:10" hidden="1">
      <c r="A376" s="219">
        <f>+'input sheet'!B97</f>
        <v>750</v>
      </c>
      <c r="B376" s="220">
        <f>+'input sheet'!A97</f>
        <v>0</v>
      </c>
      <c r="C376" s="221" t="s">
        <v>134</v>
      </c>
      <c r="D376" s="221"/>
      <c r="E376" s="222"/>
      <c r="F376" s="223">
        <f>+C377</f>
        <v>2500</v>
      </c>
      <c r="G376" s="224">
        <f>+A376/2-3</f>
        <v>372</v>
      </c>
      <c r="H376" s="224"/>
      <c r="I376" s="224">
        <f>+B376*2</f>
        <v>0</v>
      </c>
      <c r="J376" s="225"/>
    </row>
    <row r="377" spans="1:10" hidden="1">
      <c r="A377" s="3"/>
      <c r="B377" s="3">
        <f>+B376*2</f>
        <v>0</v>
      </c>
      <c r="C377" s="217">
        <f>+'input sheet'!D95</f>
        <v>2500</v>
      </c>
      <c r="D377" s="217">
        <f>+'input sheet'!F95</f>
        <v>560</v>
      </c>
      <c r="E377" s="217">
        <v>1</v>
      </c>
      <c r="F377" s="202"/>
      <c r="G377" s="217" t="str">
        <f t="shared" ref="G377:G379" si="87">+F$2</f>
        <v>tbc</v>
      </c>
      <c r="H377" s="217" t="str">
        <f t="shared" ref="H377:H379" si="88">+F$1</f>
        <v>white</v>
      </c>
      <c r="I377" s="3"/>
      <c r="J377" s="3" t="s">
        <v>34</v>
      </c>
    </row>
    <row r="378" spans="1:10" hidden="1">
      <c r="A378" s="3"/>
      <c r="B378" s="3">
        <f>+B376*'input sheet'!D97</f>
        <v>0</v>
      </c>
      <c r="C378" s="217">
        <f>+A376-16</f>
        <v>734</v>
      </c>
      <c r="D378" s="217">
        <f>+D377</f>
        <v>560</v>
      </c>
      <c r="E378" s="217">
        <v>1</v>
      </c>
      <c r="F378" s="202"/>
      <c r="G378" s="217" t="str">
        <f t="shared" si="87"/>
        <v>tbc</v>
      </c>
      <c r="H378" s="217" t="str">
        <f t="shared" si="88"/>
        <v>white</v>
      </c>
      <c r="I378" s="3"/>
      <c r="J378" s="3" t="s">
        <v>57</v>
      </c>
    </row>
    <row r="379" spans="1:10" hidden="1">
      <c r="A379" s="3"/>
      <c r="B379" s="3">
        <f>+B378</f>
        <v>0</v>
      </c>
      <c r="C379" s="217">
        <f>+C378</f>
        <v>734</v>
      </c>
      <c r="D379" s="217">
        <v>100</v>
      </c>
      <c r="E379" s="217">
        <v>1</v>
      </c>
      <c r="F379" s="202"/>
      <c r="G379" s="217" t="str">
        <f t="shared" si="87"/>
        <v>tbc</v>
      </c>
      <c r="H379" s="217" t="str">
        <f t="shared" si="88"/>
        <v>white</v>
      </c>
      <c r="I379" s="3"/>
      <c r="J379" s="3" t="s">
        <v>136</v>
      </c>
    </row>
    <row r="380" spans="1:10" hidden="1">
      <c r="A380" s="226">
        <f>+'input sheet'!B98</f>
        <v>900</v>
      </c>
      <c r="B380" s="227">
        <f>+'input sheet'!A98</f>
        <v>0</v>
      </c>
      <c r="C380" s="228" t="s">
        <v>134</v>
      </c>
      <c r="D380" s="228"/>
      <c r="E380" s="229"/>
      <c r="F380" s="230">
        <f>+C381</f>
        <v>2500</v>
      </c>
      <c r="G380" s="231">
        <f>+A380/2-3</f>
        <v>447</v>
      </c>
      <c r="H380" s="231"/>
      <c r="I380" s="231">
        <f>+B380*2</f>
        <v>0</v>
      </c>
      <c r="J380" s="232"/>
    </row>
    <row r="381" spans="1:10" hidden="1">
      <c r="A381" s="3"/>
      <c r="B381" s="3">
        <f>+B380*2</f>
        <v>0</v>
      </c>
      <c r="C381" s="217">
        <f>+C377</f>
        <v>2500</v>
      </c>
      <c r="D381" s="217">
        <f>+D377</f>
        <v>560</v>
      </c>
      <c r="E381" s="217">
        <v>1</v>
      </c>
      <c r="F381" s="202"/>
      <c r="G381" s="217" t="str">
        <f t="shared" ref="G381:G383" si="89">+F$2</f>
        <v>tbc</v>
      </c>
      <c r="H381" s="217" t="str">
        <f t="shared" ref="H381:H383" si="90">+F$1</f>
        <v>white</v>
      </c>
      <c r="I381" s="3"/>
      <c r="J381" s="3" t="s">
        <v>34</v>
      </c>
    </row>
    <row r="382" spans="1:10" hidden="1">
      <c r="A382" s="3"/>
      <c r="B382" s="3">
        <f>+B380*'input sheet'!D98</f>
        <v>0</v>
      </c>
      <c r="C382" s="217">
        <f>+A380-16</f>
        <v>884</v>
      </c>
      <c r="D382" s="217">
        <f>+D381</f>
        <v>560</v>
      </c>
      <c r="E382" s="217">
        <v>1</v>
      </c>
      <c r="F382" s="202"/>
      <c r="G382" s="217" t="str">
        <f t="shared" si="89"/>
        <v>tbc</v>
      </c>
      <c r="H382" s="217" t="str">
        <f t="shared" si="90"/>
        <v>white</v>
      </c>
      <c r="I382" s="3"/>
      <c r="J382" s="3" t="s">
        <v>57</v>
      </c>
    </row>
    <row r="383" spans="1:10" hidden="1">
      <c r="A383" s="3"/>
      <c r="B383" s="3">
        <f>+B380*3</f>
        <v>0</v>
      </c>
      <c r="C383" s="217">
        <f>+C382</f>
        <v>884</v>
      </c>
      <c r="D383" s="217">
        <v>100</v>
      </c>
      <c r="E383" s="217">
        <v>1</v>
      </c>
      <c r="F383" s="202"/>
      <c r="G383" s="217" t="str">
        <f t="shared" si="89"/>
        <v>tbc</v>
      </c>
      <c r="H383" s="217" t="str">
        <f t="shared" si="90"/>
        <v>white</v>
      </c>
      <c r="I383" s="3"/>
      <c r="J383" s="3" t="s">
        <v>136</v>
      </c>
    </row>
    <row r="384" spans="1:10" hidden="1">
      <c r="A384" s="226">
        <f>+'input sheet'!B99</f>
        <v>1200</v>
      </c>
      <c r="B384" s="227">
        <f>+'input sheet'!A99</f>
        <v>0</v>
      </c>
      <c r="C384" s="228" t="s">
        <v>134</v>
      </c>
      <c r="D384" s="228"/>
      <c r="E384" s="229"/>
      <c r="F384" s="230">
        <f>+C385</f>
        <v>2500</v>
      </c>
      <c r="G384" s="231">
        <f>+A384/2-3</f>
        <v>597</v>
      </c>
      <c r="H384" s="231"/>
      <c r="I384" s="231">
        <f>+B384*2</f>
        <v>0</v>
      </c>
      <c r="J384" s="232"/>
    </row>
    <row r="385" spans="1:10" hidden="1">
      <c r="A385" s="3"/>
      <c r="B385" s="3">
        <f>+B384*2</f>
        <v>0</v>
      </c>
      <c r="C385" s="217">
        <f>+C381</f>
        <v>2500</v>
      </c>
      <c r="D385" s="217">
        <f>+D377</f>
        <v>560</v>
      </c>
      <c r="E385" s="217">
        <v>1</v>
      </c>
      <c r="F385" s="202"/>
      <c r="G385" s="217" t="str">
        <f t="shared" ref="G385:G387" si="91">+F$2</f>
        <v>tbc</v>
      </c>
      <c r="H385" s="217" t="str">
        <f t="shared" ref="H385:H387" si="92">+F$1</f>
        <v>white</v>
      </c>
      <c r="I385" s="3"/>
      <c r="J385" s="3" t="s">
        <v>34</v>
      </c>
    </row>
    <row r="386" spans="1:10" hidden="1">
      <c r="A386" s="3"/>
      <c r="B386" s="3">
        <f>+B384*'input sheet'!D99</f>
        <v>0</v>
      </c>
      <c r="C386" s="217">
        <f>+A384-16</f>
        <v>1184</v>
      </c>
      <c r="D386" s="217">
        <f>+D385</f>
        <v>560</v>
      </c>
      <c r="E386" s="217">
        <v>1</v>
      </c>
      <c r="F386" s="202"/>
      <c r="G386" s="217" t="str">
        <f t="shared" si="91"/>
        <v>tbc</v>
      </c>
      <c r="H386" s="217" t="str">
        <f t="shared" si="92"/>
        <v>white</v>
      </c>
      <c r="I386" s="3"/>
      <c r="J386" s="3" t="s">
        <v>57</v>
      </c>
    </row>
    <row r="387" spans="1:10" hidden="1">
      <c r="A387" s="3"/>
      <c r="B387" s="3">
        <f>+B384*3</f>
        <v>0</v>
      </c>
      <c r="C387" s="217">
        <f>+C386</f>
        <v>1184</v>
      </c>
      <c r="D387" s="217">
        <v>100</v>
      </c>
      <c r="E387" s="217">
        <v>1</v>
      </c>
      <c r="F387" s="202"/>
      <c r="G387" s="217" t="str">
        <f t="shared" si="91"/>
        <v>tbc</v>
      </c>
      <c r="H387" s="217" t="str">
        <f t="shared" si="92"/>
        <v>white</v>
      </c>
      <c r="I387" s="3"/>
      <c r="J387" s="3" t="s">
        <v>136</v>
      </c>
    </row>
    <row r="388" spans="1:10" hidden="1">
      <c r="A388" s="226">
        <f>+'input sheet'!B100</f>
        <v>500</v>
      </c>
      <c r="B388" s="227">
        <f>+'input sheet'!A100</f>
        <v>0</v>
      </c>
      <c r="C388" s="228" t="s">
        <v>134</v>
      </c>
      <c r="D388" s="228"/>
      <c r="E388" s="229"/>
      <c r="F388" s="230">
        <f>+C389</f>
        <v>2500</v>
      </c>
      <c r="G388" s="231">
        <f>+A388-3</f>
        <v>497</v>
      </c>
      <c r="H388" s="231"/>
      <c r="I388" s="231">
        <f>+B388*1</f>
        <v>0</v>
      </c>
      <c r="J388" s="232"/>
    </row>
    <row r="389" spans="1:10" hidden="1">
      <c r="A389" s="3"/>
      <c r="B389" s="3">
        <f>+B388*2</f>
        <v>0</v>
      </c>
      <c r="C389" s="217">
        <f>+C385</f>
        <v>2500</v>
      </c>
      <c r="D389" s="217">
        <f>+D381</f>
        <v>560</v>
      </c>
      <c r="E389" s="217">
        <v>1</v>
      </c>
      <c r="F389" s="202"/>
      <c r="G389" s="217" t="str">
        <f t="shared" ref="G389:G391" si="93">+F$2</f>
        <v>tbc</v>
      </c>
      <c r="H389" s="217" t="str">
        <f t="shared" ref="H389:H391" si="94">+F$1</f>
        <v>white</v>
      </c>
      <c r="I389" s="3"/>
      <c r="J389" s="3" t="s">
        <v>34</v>
      </c>
    </row>
    <row r="390" spans="1:10" hidden="1">
      <c r="A390" s="3"/>
      <c r="B390" s="3">
        <f>+B388*'input sheet'!D100</f>
        <v>0</v>
      </c>
      <c r="C390" s="217">
        <f>+A388-16</f>
        <v>484</v>
      </c>
      <c r="D390" s="217">
        <f>+D389</f>
        <v>560</v>
      </c>
      <c r="E390" s="217">
        <v>1</v>
      </c>
      <c r="F390" s="202">
        <v>1</v>
      </c>
      <c r="G390" s="217" t="str">
        <f t="shared" si="93"/>
        <v>tbc</v>
      </c>
      <c r="H390" s="217" t="str">
        <f t="shared" si="94"/>
        <v>white</v>
      </c>
      <c r="I390" s="3"/>
      <c r="J390" s="3" t="s">
        <v>57</v>
      </c>
    </row>
    <row r="391" spans="1:10" hidden="1">
      <c r="A391" s="3"/>
      <c r="B391" s="3">
        <f>+B388*2</f>
        <v>0</v>
      </c>
      <c r="C391" s="217">
        <f>+C390</f>
        <v>484</v>
      </c>
      <c r="D391" s="217">
        <v>100</v>
      </c>
      <c r="E391" s="217">
        <v>1</v>
      </c>
      <c r="F391" s="202"/>
      <c r="G391" s="217" t="str">
        <f t="shared" si="93"/>
        <v>tbc</v>
      </c>
      <c r="H391" s="217" t="str">
        <f t="shared" si="94"/>
        <v>white</v>
      </c>
      <c r="I391" s="3"/>
      <c r="J391" s="3" t="s">
        <v>136</v>
      </c>
    </row>
  </sheetData>
  <autoFilter ref="B3:B391">
    <filterColumn colId="0">
      <customFilters>
        <customFilter operator="greaterThan" val="0"/>
      </customFilters>
    </filterColumn>
  </autoFilter>
  <mergeCells count="5">
    <mergeCell ref="F230:J230"/>
    <mergeCell ref="F1:G1"/>
    <mergeCell ref="F2:G2"/>
    <mergeCell ref="F4:G4"/>
    <mergeCell ref="F3:G3"/>
  </mergeCells>
  <pageMargins left="0.70866141732283472" right="0.70866141732283472" top="0.74803149606299213" bottom="0.74803149606299213" header="0.31496062992125984" footer="0.31496062992125984"/>
  <pageSetup paperSize="9" scale="86" fitToHeight="2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8"/>
  <sheetViews>
    <sheetView workbookViewId="0">
      <selection activeCell="F41" sqref="F41"/>
    </sheetView>
  </sheetViews>
  <sheetFormatPr defaultColWidth="10.85546875" defaultRowHeight="14.25"/>
  <cols>
    <col min="1" max="1" width="6.42578125" style="215" bestFit="1" customWidth="1"/>
    <col min="2" max="2" width="20.7109375" style="215" bestFit="1" customWidth="1"/>
    <col min="3" max="3" width="7.42578125" style="215" bestFit="1" customWidth="1"/>
    <col min="4" max="4" width="10.7109375" style="215" bestFit="1" customWidth="1"/>
    <col min="5" max="5" width="6.7109375" style="215" bestFit="1" customWidth="1"/>
    <col min="6" max="6" width="16.5703125" style="215" bestFit="1" customWidth="1"/>
    <col min="7" max="7" width="16" style="215" bestFit="1" customWidth="1"/>
    <col min="8" max="8" width="5" style="215" bestFit="1" customWidth="1"/>
    <col min="9" max="9" width="25.28515625" style="215" customWidth="1"/>
    <col min="10" max="10" width="21.85546875" style="215" customWidth="1"/>
    <col min="11" max="11" width="11.28515625" style="215" bestFit="1" customWidth="1"/>
    <col min="12" max="12" width="10.140625" style="215" bestFit="1" customWidth="1"/>
    <col min="13" max="13" width="12.85546875" style="215" bestFit="1" customWidth="1"/>
    <col min="14" max="14" width="10.85546875" style="215"/>
    <col min="15" max="15" width="22.28515625" style="215" customWidth="1"/>
    <col min="16" max="16" width="12.28515625" style="215" customWidth="1"/>
    <col min="17" max="16384" width="10.85546875" style="215"/>
  </cols>
  <sheetData>
    <row r="1" spans="1:14" ht="39.75" customHeight="1" thickBot="1">
      <c r="A1" s="279" t="s">
        <v>58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4" ht="20.100000000000001" customHeight="1">
      <c r="A2" s="286" t="s">
        <v>59</v>
      </c>
      <c r="B2" s="286"/>
      <c r="C2" s="281" t="str">
        <f>+'input sheet'!C1</f>
        <v>Adnaan</v>
      </c>
      <c r="D2" s="281"/>
      <c r="E2" s="281"/>
      <c r="F2" s="214" t="s">
        <v>60</v>
      </c>
      <c r="G2" s="114">
        <v>45479</v>
      </c>
      <c r="H2" s="113"/>
      <c r="I2" s="214" t="s">
        <v>80</v>
      </c>
      <c r="J2" s="214" t="s">
        <v>81</v>
      </c>
      <c r="K2" s="115" t="s">
        <v>83</v>
      </c>
      <c r="L2" s="215">
        <f>-35*M2</f>
        <v>0</v>
      </c>
      <c r="M2" s="215">
        <v>0</v>
      </c>
    </row>
    <row r="3" spans="1:14" ht="20.100000000000001" customHeight="1">
      <c r="A3" s="286" t="s">
        <v>61</v>
      </c>
      <c r="B3" s="286"/>
      <c r="C3" s="281" t="str">
        <f>+'input sheet'!C2</f>
        <v xml:space="preserve">bic </v>
      </c>
      <c r="D3" s="281"/>
      <c r="E3" s="281"/>
      <c r="F3" s="214"/>
      <c r="G3" s="282"/>
      <c r="H3" s="282"/>
      <c r="I3" s="113" t="s">
        <v>138</v>
      </c>
      <c r="J3" s="113" t="s">
        <v>138</v>
      </c>
      <c r="K3" s="116" t="s">
        <v>84</v>
      </c>
      <c r="L3" s="113"/>
      <c r="M3" s="113"/>
    </row>
    <row r="4" spans="1:14" ht="20.100000000000001" customHeight="1" thickBot="1">
      <c r="A4" s="286"/>
      <c r="B4" s="286"/>
      <c r="C4" s="281"/>
      <c r="D4" s="281"/>
      <c r="E4" s="281"/>
      <c r="F4" s="214"/>
      <c r="G4" s="113"/>
      <c r="H4" s="113"/>
      <c r="I4" s="113"/>
      <c r="J4" s="214"/>
      <c r="K4" s="117"/>
      <c r="L4" s="113"/>
      <c r="M4" s="113"/>
    </row>
    <row r="5" spans="1:14" ht="20.100000000000001" customHeight="1">
      <c r="A5" s="287" t="s">
        <v>62</v>
      </c>
      <c r="B5" s="287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</row>
    <row r="6" spans="1:14" ht="20.100000000000001" customHeight="1">
      <c r="A6" s="104" t="s">
        <v>63</v>
      </c>
      <c r="B6" s="104" t="s">
        <v>64</v>
      </c>
      <c r="C6" s="104" t="s">
        <v>65</v>
      </c>
      <c r="D6" s="104" t="s">
        <v>66</v>
      </c>
      <c r="E6" s="104" t="s">
        <v>67</v>
      </c>
      <c r="F6" s="105" t="s">
        <v>68</v>
      </c>
      <c r="G6" s="104" t="s">
        <v>69</v>
      </c>
      <c r="H6" s="104" t="s">
        <v>70</v>
      </c>
      <c r="I6" s="104" t="s">
        <v>71</v>
      </c>
      <c r="J6" s="104" t="s">
        <v>81</v>
      </c>
      <c r="K6" s="104" t="s">
        <v>72</v>
      </c>
      <c r="L6" s="104" t="s">
        <v>73</v>
      </c>
      <c r="M6" s="104" t="s">
        <v>74</v>
      </c>
      <c r="N6" s="107" t="s">
        <v>127</v>
      </c>
    </row>
    <row r="7" spans="1:14" ht="20.100000000000001" customHeight="1">
      <c r="A7" s="106">
        <v>1</v>
      </c>
      <c r="B7" s="107" t="s">
        <v>126</v>
      </c>
      <c r="C7" s="107">
        <f>+'cut list'!F11</f>
        <v>717</v>
      </c>
      <c r="D7" s="107"/>
      <c r="E7" s="107">
        <f>+'cut list'!G11</f>
        <v>538</v>
      </c>
      <c r="F7" s="107">
        <f>+'cut list'!H11</f>
        <v>0</v>
      </c>
      <c r="G7" s="107">
        <f t="shared" ref="G7:G56" si="0">+F7*E7/1000*C7/1000</f>
        <v>0</v>
      </c>
      <c r="H7" s="107" t="s">
        <v>75</v>
      </c>
      <c r="I7" s="107" t="str">
        <f>+I$3</f>
        <v>tbc</v>
      </c>
      <c r="J7" s="107" t="str">
        <f>+J$3</f>
        <v>tbc</v>
      </c>
      <c r="K7" s="107" t="s">
        <v>76</v>
      </c>
      <c r="L7" s="108">
        <v>375</v>
      </c>
      <c r="M7" s="108">
        <f t="shared" ref="M7:M57" si="1">L7*G7</f>
        <v>0</v>
      </c>
      <c r="N7" s="107">
        <v>2</v>
      </c>
    </row>
    <row r="8" spans="1:14" ht="20.100000000000001" customHeight="1">
      <c r="A8" s="106">
        <v>2</v>
      </c>
      <c r="B8" s="107" t="s">
        <v>109</v>
      </c>
      <c r="C8" s="107">
        <f>+'cut list'!F18</f>
        <v>120</v>
      </c>
      <c r="D8" s="107"/>
      <c r="E8" s="107">
        <f>+'cut list'!G18</f>
        <v>597</v>
      </c>
      <c r="F8" s="107">
        <f>+'cut list'!H18</f>
        <v>0</v>
      </c>
      <c r="G8" s="107">
        <f t="shared" si="0"/>
        <v>0</v>
      </c>
      <c r="H8" s="107" t="s">
        <v>75</v>
      </c>
      <c r="I8" s="107" t="str">
        <f t="shared" ref="I8:J58" si="2">+I$3</f>
        <v>tbc</v>
      </c>
      <c r="J8" s="107" t="str">
        <f t="shared" si="2"/>
        <v>tbc</v>
      </c>
      <c r="K8" s="107" t="s">
        <v>76</v>
      </c>
      <c r="L8" s="108">
        <v>375</v>
      </c>
      <c r="M8" s="108">
        <f t="shared" si="1"/>
        <v>0</v>
      </c>
      <c r="N8" s="218"/>
    </row>
    <row r="9" spans="1:14" ht="20.100000000000001" customHeight="1">
      <c r="A9" s="106">
        <v>3</v>
      </c>
      <c r="B9" s="109" t="s">
        <v>126</v>
      </c>
      <c r="C9" s="107">
        <f>+'cut list'!F24</f>
        <v>717</v>
      </c>
      <c r="D9" s="109"/>
      <c r="E9" s="107">
        <f>+'cut list'!G24</f>
        <v>297</v>
      </c>
      <c r="F9" s="107">
        <f>+'cut list'!H24</f>
        <v>0</v>
      </c>
      <c r="G9" s="107">
        <f t="shared" si="0"/>
        <v>0</v>
      </c>
      <c r="H9" s="109" t="s">
        <v>75</v>
      </c>
      <c r="I9" s="107" t="str">
        <f t="shared" si="2"/>
        <v>tbc</v>
      </c>
      <c r="J9" s="107" t="str">
        <f t="shared" si="2"/>
        <v>tbc</v>
      </c>
      <c r="K9" s="107" t="s">
        <v>76</v>
      </c>
      <c r="L9" s="108">
        <v>375</v>
      </c>
      <c r="M9" s="108">
        <f t="shared" si="1"/>
        <v>0</v>
      </c>
      <c r="N9" s="107">
        <v>2</v>
      </c>
    </row>
    <row r="10" spans="1:14" ht="20.100000000000001" customHeight="1">
      <c r="A10" s="106">
        <v>4</v>
      </c>
      <c r="B10" s="109" t="s">
        <v>109</v>
      </c>
      <c r="C10" s="107">
        <f>+'cut list'!F31</f>
        <v>177</v>
      </c>
      <c r="D10" s="109"/>
      <c r="E10" s="107">
        <f>+'cut list'!G31</f>
        <v>597</v>
      </c>
      <c r="F10" s="107">
        <f>+'cut list'!H31</f>
        <v>0</v>
      </c>
      <c r="G10" s="107">
        <f t="shared" si="0"/>
        <v>0</v>
      </c>
      <c r="H10" s="109" t="s">
        <v>75</v>
      </c>
      <c r="I10" s="107" t="str">
        <f t="shared" si="2"/>
        <v>tbc</v>
      </c>
      <c r="J10" s="107" t="str">
        <f t="shared" si="2"/>
        <v>tbc</v>
      </c>
      <c r="K10" s="107" t="s">
        <v>76</v>
      </c>
      <c r="L10" s="108">
        <v>375</v>
      </c>
      <c r="M10" s="108">
        <f t="shared" si="1"/>
        <v>0</v>
      </c>
      <c r="N10" s="218"/>
    </row>
    <row r="11" spans="1:14" ht="20.100000000000001" customHeight="1">
      <c r="A11" s="107">
        <v>5</v>
      </c>
      <c r="B11" s="109" t="s">
        <v>109</v>
      </c>
      <c r="C11" s="107">
        <f>+'cut list'!F40</f>
        <v>177</v>
      </c>
      <c r="D11" s="109"/>
      <c r="E11" s="107">
        <f>+'cut list'!H40</f>
        <v>697</v>
      </c>
      <c r="F11" s="107">
        <f>+'cut list'!I40</f>
        <v>0</v>
      </c>
      <c r="G11" s="107">
        <f t="shared" si="0"/>
        <v>0</v>
      </c>
      <c r="H11" s="109" t="s">
        <v>75</v>
      </c>
      <c r="I11" s="107" t="str">
        <f t="shared" si="2"/>
        <v>tbc</v>
      </c>
      <c r="J11" s="107" t="str">
        <f t="shared" si="2"/>
        <v>tbc</v>
      </c>
      <c r="K11" s="107" t="s">
        <v>76</v>
      </c>
      <c r="L11" s="108">
        <v>375</v>
      </c>
      <c r="M11" s="108">
        <f t="shared" si="1"/>
        <v>0</v>
      </c>
      <c r="N11" s="218"/>
    </row>
    <row r="12" spans="1:14" ht="20.100000000000001" customHeight="1">
      <c r="A12" s="107">
        <v>6</v>
      </c>
      <c r="B12" s="109" t="s">
        <v>109</v>
      </c>
      <c r="C12" s="107">
        <f>+'cut list'!G40</f>
        <v>356</v>
      </c>
      <c r="D12" s="109"/>
      <c r="E12" s="107">
        <f>+'cut list'!H40</f>
        <v>697</v>
      </c>
      <c r="F12" s="107">
        <f>+'cut list'!J40</f>
        <v>0</v>
      </c>
      <c r="G12" s="107">
        <f t="shared" si="0"/>
        <v>0</v>
      </c>
      <c r="H12" s="109" t="s">
        <v>75</v>
      </c>
      <c r="I12" s="107" t="str">
        <f t="shared" si="2"/>
        <v>tbc</v>
      </c>
      <c r="J12" s="107" t="str">
        <f t="shared" si="2"/>
        <v>tbc</v>
      </c>
      <c r="K12" s="107" t="s">
        <v>76</v>
      </c>
      <c r="L12" s="108">
        <v>375</v>
      </c>
      <c r="M12" s="108">
        <f t="shared" si="1"/>
        <v>0</v>
      </c>
      <c r="N12" s="218"/>
    </row>
    <row r="13" spans="1:14" ht="20.100000000000001" customHeight="1">
      <c r="A13" s="107">
        <v>7</v>
      </c>
      <c r="B13" s="109" t="s">
        <v>109</v>
      </c>
      <c r="C13" s="107">
        <f>+'cut list'!F51</f>
        <v>356</v>
      </c>
      <c r="D13" s="109"/>
      <c r="E13" s="107">
        <f>+'cut list'!H51</f>
        <v>597</v>
      </c>
      <c r="F13" s="107">
        <f>+'cut list'!I51</f>
        <v>0</v>
      </c>
      <c r="G13" s="107">
        <f t="shared" si="0"/>
        <v>0</v>
      </c>
      <c r="H13" s="109" t="s">
        <v>75</v>
      </c>
      <c r="I13" s="107" t="str">
        <f t="shared" si="2"/>
        <v>tbc</v>
      </c>
      <c r="J13" s="107" t="str">
        <f t="shared" si="2"/>
        <v>tbc</v>
      </c>
      <c r="K13" s="107" t="s">
        <v>76</v>
      </c>
      <c r="L13" s="108">
        <v>375</v>
      </c>
      <c r="M13" s="108">
        <f t="shared" si="1"/>
        <v>0</v>
      </c>
      <c r="N13" s="218"/>
    </row>
    <row r="14" spans="1:14" ht="20.100000000000001" customHeight="1">
      <c r="A14" s="107">
        <v>8</v>
      </c>
      <c r="B14" s="109" t="s">
        <v>126</v>
      </c>
      <c r="C14" s="107">
        <f>+'cut list'!F60</f>
        <v>717</v>
      </c>
      <c r="D14" s="109"/>
      <c r="E14" s="107">
        <f>+'cut list'!G60</f>
        <v>372</v>
      </c>
      <c r="F14" s="107">
        <f>+'cut list'!H60</f>
        <v>0</v>
      </c>
      <c r="G14" s="107">
        <f t="shared" si="0"/>
        <v>0</v>
      </c>
      <c r="H14" s="109" t="s">
        <v>75</v>
      </c>
      <c r="I14" s="107" t="str">
        <f t="shared" si="2"/>
        <v>tbc</v>
      </c>
      <c r="J14" s="107" t="str">
        <f t="shared" si="2"/>
        <v>tbc</v>
      </c>
      <c r="K14" s="107" t="s">
        <v>76</v>
      </c>
      <c r="L14" s="108">
        <v>375</v>
      </c>
      <c r="M14" s="108">
        <f t="shared" si="1"/>
        <v>0</v>
      </c>
      <c r="N14" s="107">
        <v>2</v>
      </c>
    </row>
    <row r="15" spans="1:14" ht="20.100000000000001" customHeight="1">
      <c r="A15" s="107">
        <v>8</v>
      </c>
      <c r="B15" s="109" t="s">
        <v>109</v>
      </c>
      <c r="C15" s="107">
        <f>+'cut list'!F67</f>
        <v>177</v>
      </c>
      <c r="D15" s="109"/>
      <c r="E15" s="107">
        <f>+'cut list'!H67</f>
        <v>747</v>
      </c>
      <c r="F15" s="107">
        <f>+'cut list'!I67</f>
        <v>0</v>
      </c>
      <c r="G15" s="107">
        <f t="shared" si="0"/>
        <v>0</v>
      </c>
      <c r="H15" s="109" t="s">
        <v>75</v>
      </c>
      <c r="I15" s="107" t="str">
        <f t="shared" si="2"/>
        <v>tbc</v>
      </c>
      <c r="J15" s="107" t="str">
        <f t="shared" si="2"/>
        <v>tbc</v>
      </c>
      <c r="K15" s="107" t="s">
        <v>76</v>
      </c>
      <c r="L15" s="108">
        <v>375</v>
      </c>
      <c r="M15" s="108">
        <f t="shared" si="1"/>
        <v>0</v>
      </c>
      <c r="N15" s="218"/>
    </row>
    <row r="16" spans="1:14" ht="20.100000000000001" customHeight="1">
      <c r="A16" s="107">
        <v>9</v>
      </c>
      <c r="B16" s="109" t="s">
        <v>109</v>
      </c>
      <c r="C16" s="107">
        <f>+'cut list'!G67</f>
        <v>356</v>
      </c>
      <c r="D16" s="109"/>
      <c r="E16" s="107">
        <f>+'cut list'!H67</f>
        <v>747</v>
      </c>
      <c r="F16" s="107">
        <f>+'cut list'!J67</f>
        <v>0</v>
      </c>
      <c r="G16" s="107">
        <f t="shared" si="0"/>
        <v>0</v>
      </c>
      <c r="H16" s="109" t="s">
        <v>75</v>
      </c>
      <c r="I16" s="107" t="str">
        <f t="shared" si="2"/>
        <v>tbc</v>
      </c>
      <c r="J16" s="107" t="str">
        <f t="shared" si="2"/>
        <v>tbc</v>
      </c>
      <c r="K16" s="107" t="s">
        <v>76</v>
      </c>
      <c r="L16" s="108">
        <v>375</v>
      </c>
      <c r="M16" s="108">
        <f t="shared" si="1"/>
        <v>0</v>
      </c>
      <c r="N16" s="218"/>
    </row>
    <row r="17" spans="1:14" ht="20.100000000000001" customHeight="1">
      <c r="A17" s="107">
        <v>10</v>
      </c>
      <c r="B17" s="109" t="s">
        <v>126</v>
      </c>
      <c r="C17" s="107">
        <f>+'cut list'!F78</f>
        <v>717</v>
      </c>
      <c r="D17" s="109"/>
      <c r="E17" s="107">
        <f>+'cut list'!G78</f>
        <v>316</v>
      </c>
      <c r="F17" s="107">
        <f>+'cut list'!I78</f>
        <v>0</v>
      </c>
      <c r="G17" s="107">
        <f t="shared" si="0"/>
        <v>0</v>
      </c>
      <c r="H17" s="109" t="s">
        <v>75</v>
      </c>
      <c r="I17" s="107" t="str">
        <f t="shared" si="2"/>
        <v>tbc</v>
      </c>
      <c r="J17" s="107" t="str">
        <f t="shared" si="2"/>
        <v>tbc</v>
      </c>
      <c r="K17" s="107" t="s">
        <v>76</v>
      </c>
      <c r="L17" s="108">
        <v>375</v>
      </c>
      <c r="M17" s="108">
        <f t="shared" si="1"/>
        <v>0</v>
      </c>
      <c r="N17" s="107">
        <v>2</v>
      </c>
    </row>
    <row r="18" spans="1:14" ht="20.100000000000001" customHeight="1">
      <c r="A18" s="107">
        <v>11</v>
      </c>
      <c r="B18" s="109" t="s">
        <v>126</v>
      </c>
      <c r="C18" s="107">
        <f>+'cut list'!F78</f>
        <v>717</v>
      </c>
      <c r="D18" s="109"/>
      <c r="E18" s="107">
        <f>+'cut list'!H78</f>
        <v>319</v>
      </c>
      <c r="F18" s="107">
        <f>+'cut list'!J78</f>
        <v>0</v>
      </c>
      <c r="G18" s="107">
        <f t="shared" si="0"/>
        <v>0</v>
      </c>
      <c r="H18" s="109" t="s">
        <v>75</v>
      </c>
      <c r="I18" s="107" t="str">
        <f t="shared" si="2"/>
        <v>tbc</v>
      </c>
      <c r="J18" s="107" t="str">
        <f t="shared" si="2"/>
        <v>tbc</v>
      </c>
      <c r="K18" s="107" t="s">
        <v>76</v>
      </c>
      <c r="L18" s="108">
        <v>375</v>
      </c>
      <c r="M18" s="108">
        <f t="shared" si="1"/>
        <v>0</v>
      </c>
      <c r="N18" s="107">
        <v>2</v>
      </c>
    </row>
    <row r="19" spans="1:14" ht="20.100000000000001" customHeight="1">
      <c r="A19" s="107">
        <v>12</v>
      </c>
      <c r="B19" s="109" t="s">
        <v>126</v>
      </c>
      <c r="C19" s="107">
        <f>+'cut list'!F84</f>
        <v>717</v>
      </c>
      <c r="D19" s="109"/>
      <c r="E19" s="107">
        <f>+'cut list'!G84</f>
        <v>316</v>
      </c>
      <c r="F19" s="107">
        <f>+'cut list'!I84</f>
        <v>0</v>
      </c>
      <c r="G19" s="107">
        <f t="shared" si="0"/>
        <v>0</v>
      </c>
      <c r="H19" s="109" t="s">
        <v>75</v>
      </c>
      <c r="I19" s="107" t="str">
        <f t="shared" si="2"/>
        <v>tbc</v>
      </c>
      <c r="J19" s="107" t="str">
        <f t="shared" si="2"/>
        <v>tbc</v>
      </c>
      <c r="K19" s="107" t="s">
        <v>76</v>
      </c>
      <c r="L19" s="108">
        <v>375</v>
      </c>
      <c r="M19" s="108">
        <f t="shared" si="1"/>
        <v>0</v>
      </c>
      <c r="N19" s="107">
        <v>2</v>
      </c>
    </row>
    <row r="20" spans="1:14" ht="18.75" customHeight="1">
      <c r="A20" s="107">
        <v>13</v>
      </c>
      <c r="B20" s="109" t="s">
        <v>126</v>
      </c>
      <c r="C20" s="107">
        <f>+'cut list'!F84</f>
        <v>717</v>
      </c>
      <c r="D20" s="109"/>
      <c r="E20" s="107">
        <f>+'cut list'!H84</f>
        <v>419</v>
      </c>
      <c r="F20" s="107">
        <f>+'cut list'!J84</f>
        <v>0</v>
      </c>
      <c r="G20" s="107">
        <f t="shared" si="0"/>
        <v>0</v>
      </c>
      <c r="H20" s="109" t="s">
        <v>75</v>
      </c>
      <c r="I20" s="107" t="str">
        <f t="shared" si="2"/>
        <v>tbc</v>
      </c>
      <c r="J20" s="107" t="str">
        <f t="shared" si="2"/>
        <v>tbc</v>
      </c>
      <c r="K20" s="107" t="s">
        <v>76</v>
      </c>
      <c r="L20" s="108">
        <v>375</v>
      </c>
      <c r="M20" s="108">
        <f t="shared" si="1"/>
        <v>0</v>
      </c>
      <c r="N20" s="107">
        <v>2</v>
      </c>
    </row>
    <row r="21" spans="1:14" ht="18.75" customHeight="1">
      <c r="A21" s="107">
        <v>14</v>
      </c>
      <c r="B21" s="109" t="s">
        <v>126</v>
      </c>
      <c r="C21" s="107">
        <f>+'cut list'!F91</f>
        <v>717</v>
      </c>
      <c r="D21" s="109"/>
      <c r="E21" s="107">
        <f>+'cut list'!G91</f>
        <v>447</v>
      </c>
      <c r="F21" s="107">
        <f>+'cut list'!I91</f>
        <v>0</v>
      </c>
      <c r="G21" s="107">
        <f t="shared" si="0"/>
        <v>0</v>
      </c>
      <c r="H21" s="109" t="s">
        <v>75</v>
      </c>
      <c r="I21" s="107" t="str">
        <f t="shared" si="2"/>
        <v>tbc</v>
      </c>
      <c r="J21" s="107" t="str">
        <f t="shared" si="2"/>
        <v>tbc</v>
      </c>
      <c r="K21" s="107" t="s">
        <v>76</v>
      </c>
      <c r="L21" s="108">
        <v>375</v>
      </c>
      <c r="M21" s="108">
        <f t="shared" si="1"/>
        <v>0</v>
      </c>
      <c r="N21" s="107">
        <v>2</v>
      </c>
    </row>
    <row r="22" spans="1:14" ht="18.75" customHeight="1">
      <c r="A22" s="107">
        <v>15</v>
      </c>
      <c r="B22" s="109" t="s">
        <v>109</v>
      </c>
      <c r="C22" s="107">
        <f>+'cut list'!F98</f>
        <v>177</v>
      </c>
      <c r="D22" s="109"/>
      <c r="E22" s="107">
        <f>+'cut list'!H98</f>
        <v>897</v>
      </c>
      <c r="F22" s="107">
        <f>+'cut list'!I98</f>
        <v>0</v>
      </c>
      <c r="G22" s="107">
        <f t="shared" si="0"/>
        <v>0</v>
      </c>
      <c r="H22" s="109" t="s">
        <v>75</v>
      </c>
      <c r="I22" s="107" t="str">
        <f t="shared" si="2"/>
        <v>tbc</v>
      </c>
      <c r="J22" s="107" t="str">
        <f t="shared" si="2"/>
        <v>tbc</v>
      </c>
      <c r="K22" s="107" t="s">
        <v>76</v>
      </c>
      <c r="L22" s="108">
        <v>375</v>
      </c>
      <c r="M22" s="108">
        <f t="shared" si="1"/>
        <v>0</v>
      </c>
      <c r="N22" s="218"/>
    </row>
    <row r="23" spans="1:14" ht="18.75" customHeight="1">
      <c r="A23" s="107">
        <v>16</v>
      </c>
      <c r="B23" s="109" t="s">
        <v>109</v>
      </c>
      <c r="C23" s="107">
        <f>++'cut list'!G98</f>
        <v>356</v>
      </c>
      <c r="D23" s="109"/>
      <c r="E23" s="107">
        <f>+'cut list'!H98</f>
        <v>897</v>
      </c>
      <c r="F23" s="107">
        <f>+'cut list'!J98</f>
        <v>0</v>
      </c>
      <c r="G23" s="107">
        <f t="shared" si="0"/>
        <v>0</v>
      </c>
      <c r="H23" s="109" t="s">
        <v>75</v>
      </c>
      <c r="I23" s="107" t="str">
        <f t="shared" si="2"/>
        <v>tbc</v>
      </c>
      <c r="J23" s="107" t="str">
        <f t="shared" si="2"/>
        <v>tbc</v>
      </c>
      <c r="K23" s="107" t="s">
        <v>76</v>
      </c>
      <c r="L23" s="108">
        <v>375</v>
      </c>
      <c r="M23" s="108">
        <f t="shared" si="1"/>
        <v>0</v>
      </c>
      <c r="N23" s="218"/>
    </row>
    <row r="24" spans="1:14" ht="18.75" customHeight="1">
      <c r="A24" s="107">
        <v>17</v>
      </c>
      <c r="B24" s="107" t="s">
        <v>126</v>
      </c>
      <c r="C24" s="107">
        <f>+'cut list'!F109</f>
        <v>717</v>
      </c>
      <c r="D24" s="107"/>
      <c r="E24" s="107">
        <f>+'cut list'!G109</f>
        <v>497</v>
      </c>
      <c r="F24" s="107">
        <f>+'cut list'!I109</f>
        <v>0</v>
      </c>
      <c r="G24" s="107">
        <f t="shared" si="0"/>
        <v>0</v>
      </c>
      <c r="H24" s="107" t="s">
        <v>75</v>
      </c>
      <c r="I24" s="107" t="str">
        <f t="shared" si="2"/>
        <v>tbc</v>
      </c>
      <c r="J24" s="107" t="str">
        <f t="shared" si="2"/>
        <v>tbc</v>
      </c>
      <c r="K24" s="107" t="s">
        <v>76</v>
      </c>
      <c r="L24" s="108">
        <v>375</v>
      </c>
      <c r="M24" s="108">
        <f t="shared" si="1"/>
        <v>0</v>
      </c>
      <c r="N24" s="107">
        <v>2</v>
      </c>
    </row>
    <row r="25" spans="1:14" ht="18.75" customHeight="1">
      <c r="A25" s="107">
        <v>18</v>
      </c>
      <c r="B25" s="109" t="s">
        <v>126</v>
      </c>
      <c r="C25" s="107">
        <f>+'cut list'!F116</f>
        <v>717</v>
      </c>
      <c r="D25" s="109"/>
      <c r="E25" s="107">
        <f>+'cut list'!G116</f>
        <v>547</v>
      </c>
      <c r="F25" s="107">
        <f>+'cut list'!I116</f>
        <v>0</v>
      </c>
      <c r="G25" s="107">
        <f t="shared" si="0"/>
        <v>0</v>
      </c>
      <c r="H25" s="109" t="s">
        <v>75</v>
      </c>
      <c r="I25" s="107" t="str">
        <f t="shared" si="2"/>
        <v>tbc</v>
      </c>
      <c r="J25" s="107" t="str">
        <f t="shared" si="2"/>
        <v>tbc</v>
      </c>
      <c r="K25" s="107" t="s">
        <v>76</v>
      </c>
      <c r="L25" s="108">
        <v>375</v>
      </c>
      <c r="M25" s="108">
        <f t="shared" si="1"/>
        <v>0</v>
      </c>
      <c r="N25" s="107">
        <v>2</v>
      </c>
    </row>
    <row r="26" spans="1:14" ht="18.75" customHeight="1">
      <c r="A26" s="107">
        <v>19</v>
      </c>
      <c r="B26" s="109" t="s">
        <v>126</v>
      </c>
      <c r="C26" s="107">
        <f>+'cut list'!F123</f>
        <v>717</v>
      </c>
      <c r="D26" s="109"/>
      <c r="E26" s="107">
        <f>+'cut list'!G123</f>
        <v>597</v>
      </c>
      <c r="F26" s="107">
        <f>+'cut list'!I123</f>
        <v>0</v>
      </c>
      <c r="G26" s="107">
        <f t="shared" si="0"/>
        <v>0</v>
      </c>
      <c r="H26" s="109" t="s">
        <v>75</v>
      </c>
      <c r="I26" s="107" t="str">
        <f t="shared" si="2"/>
        <v>tbc</v>
      </c>
      <c r="J26" s="107" t="str">
        <f t="shared" si="2"/>
        <v>tbc</v>
      </c>
      <c r="K26" s="107" t="s">
        <v>76</v>
      </c>
      <c r="L26" s="108">
        <v>375</v>
      </c>
      <c r="M26" s="108">
        <f t="shared" si="1"/>
        <v>0</v>
      </c>
      <c r="N26" s="107">
        <v>2</v>
      </c>
    </row>
    <row r="27" spans="1:14" ht="20.100000000000001" customHeight="1">
      <c r="A27" s="107">
        <v>20</v>
      </c>
      <c r="B27" s="109" t="s">
        <v>126</v>
      </c>
      <c r="C27" s="107">
        <f>+'cut list'!F130</f>
        <v>717</v>
      </c>
      <c r="D27" s="109"/>
      <c r="E27" s="107">
        <f>+'cut list'!G130</f>
        <v>597</v>
      </c>
      <c r="F27" s="107">
        <f>+'cut list'!I130</f>
        <v>0</v>
      </c>
      <c r="G27" s="107">
        <f t="shared" si="0"/>
        <v>0</v>
      </c>
      <c r="H27" s="109" t="s">
        <v>75</v>
      </c>
      <c r="I27" s="107" t="str">
        <f t="shared" si="2"/>
        <v>tbc</v>
      </c>
      <c r="J27" s="107" t="str">
        <f t="shared" si="2"/>
        <v>tbc</v>
      </c>
      <c r="K27" s="107" t="s">
        <v>76</v>
      </c>
      <c r="L27" s="108">
        <v>375</v>
      </c>
      <c r="M27" s="108">
        <f t="shared" si="1"/>
        <v>0</v>
      </c>
      <c r="N27" s="107">
        <v>2</v>
      </c>
    </row>
    <row r="28" spans="1:14" ht="20.100000000000001" customHeight="1">
      <c r="A28" s="107">
        <v>21</v>
      </c>
      <c r="B28" s="109" t="s">
        <v>126</v>
      </c>
      <c r="C28" s="107">
        <f>+'cut list'!F137</f>
        <v>717</v>
      </c>
      <c r="D28" s="109"/>
      <c r="E28" s="107">
        <f>+'cut list'!G137</f>
        <v>297</v>
      </c>
      <c r="F28" s="107">
        <f>+'cut list'!I137</f>
        <v>0</v>
      </c>
      <c r="G28" s="107">
        <f t="shared" si="0"/>
        <v>0</v>
      </c>
      <c r="H28" s="109" t="s">
        <v>75</v>
      </c>
      <c r="I28" s="107" t="str">
        <f t="shared" si="2"/>
        <v>tbc</v>
      </c>
      <c r="J28" s="107" t="str">
        <f t="shared" si="2"/>
        <v>tbc</v>
      </c>
      <c r="K28" s="107" t="s">
        <v>76</v>
      </c>
      <c r="L28" s="108">
        <v>375</v>
      </c>
      <c r="M28" s="108">
        <f t="shared" si="1"/>
        <v>0</v>
      </c>
      <c r="N28" s="107">
        <v>2</v>
      </c>
    </row>
    <row r="29" spans="1:14" ht="20.100000000000001" customHeight="1">
      <c r="A29" s="107">
        <v>22</v>
      </c>
      <c r="B29" s="109" t="s">
        <v>126</v>
      </c>
      <c r="C29" s="107">
        <f>+'cut list'!F144</f>
        <v>717</v>
      </c>
      <c r="D29" s="109"/>
      <c r="E29" s="107">
        <f>+'cut list'!G144</f>
        <v>447</v>
      </c>
      <c r="F29" s="107">
        <f>+'cut list'!I144</f>
        <v>0</v>
      </c>
      <c r="G29" s="107">
        <f t="shared" si="0"/>
        <v>0</v>
      </c>
      <c r="H29" s="109" t="s">
        <v>75</v>
      </c>
      <c r="I29" s="107" t="str">
        <f t="shared" si="2"/>
        <v>tbc</v>
      </c>
      <c r="J29" s="107" t="str">
        <f t="shared" si="2"/>
        <v>tbc</v>
      </c>
      <c r="K29" s="107" t="s">
        <v>76</v>
      </c>
      <c r="L29" s="108">
        <v>375</v>
      </c>
      <c r="M29" s="108">
        <f t="shared" si="1"/>
        <v>0</v>
      </c>
      <c r="N29" s="107">
        <v>2</v>
      </c>
    </row>
    <row r="30" spans="1:14" ht="20.100000000000001" customHeight="1">
      <c r="A30" s="107">
        <v>23</v>
      </c>
      <c r="B30" s="109" t="s">
        <v>109</v>
      </c>
      <c r="C30" s="107">
        <f>+'cut list'!F151</f>
        <v>177</v>
      </c>
      <c r="D30" s="109"/>
      <c r="E30" s="107">
        <f>+'cut list'!G151</f>
        <v>447</v>
      </c>
      <c r="F30" s="107">
        <f>+'cut list'!H151</f>
        <v>0</v>
      </c>
      <c r="G30" s="107">
        <f t="shared" si="0"/>
        <v>0</v>
      </c>
      <c r="H30" s="109" t="s">
        <v>75</v>
      </c>
      <c r="I30" s="107" t="str">
        <f t="shared" si="2"/>
        <v>tbc</v>
      </c>
      <c r="J30" s="107" t="str">
        <f t="shared" si="2"/>
        <v>tbc</v>
      </c>
      <c r="K30" s="107" t="s">
        <v>76</v>
      </c>
      <c r="L30" s="108">
        <v>375</v>
      </c>
      <c r="M30" s="108">
        <f t="shared" si="1"/>
        <v>0</v>
      </c>
      <c r="N30" s="218"/>
    </row>
    <row r="31" spans="1:14" ht="20.100000000000001" customHeight="1">
      <c r="A31" s="107">
        <v>24</v>
      </c>
      <c r="B31" s="109" t="s">
        <v>109</v>
      </c>
      <c r="C31" s="107">
        <f>+'cut list'!F160</f>
        <v>177</v>
      </c>
      <c r="D31" s="109"/>
      <c r="E31" s="107">
        <f>+'cut list'!H160</f>
        <v>447</v>
      </c>
      <c r="F31" s="107">
        <f>+'cut list'!I160</f>
        <v>0</v>
      </c>
      <c r="G31" s="107">
        <f t="shared" si="0"/>
        <v>0</v>
      </c>
      <c r="H31" s="109" t="s">
        <v>75</v>
      </c>
      <c r="I31" s="107" t="str">
        <f t="shared" si="2"/>
        <v>tbc</v>
      </c>
      <c r="J31" s="107" t="str">
        <f t="shared" si="2"/>
        <v>tbc</v>
      </c>
      <c r="K31" s="107" t="s">
        <v>76</v>
      </c>
      <c r="L31" s="108">
        <v>375</v>
      </c>
      <c r="M31" s="108">
        <f t="shared" si="1"/>
        <v>0</v>
      </c>
      <c r="N31" s="218"/>
    </row>
    <row r="32" spans="1:14" ht="20.100000000000001" customHeight="1">
      <c r="A32" s="107">
        <v>25</v>
      </c>
      <c r="B32" s="109" t="s">
        <v>109</v>
      </c>
      <c r="C32" s="107">
        <f>+'cut list'!G160</f>
        <v>356</v>
      </c>
      <c r="D32" s="109"/>
      <c r="E32" s="107">
        <f>+'cut list'!H160</f>
        <v>447</v>
      </c>
      <c r="F32" s="107">
        <f>+'cut list'!J160</f>
        <v>0</v>
      </c>
      <c r="G32" s="107">
        <f t="shared" si="0"/>
        <v>0</v>
      </c>
      <c r="H32" s="109" t="s">
        <v>75</v>
      </c>
      <c r="I32" s="107" t="str">
        <f t="shared" si="2"/>
        <v>tbc</v>
      </c>
      <c r="J32" s="107" t="str">
        <f t="shared" si="2"/>
        <v>tbc</v>
      </c>
      <c r="K32" s="107" t="s">
        <v>76</v>
      </c>
      <c r="L32" s="108">
        <v>375</v>
      </c>
      <c r="M32" s="108">
        <f t="shared" si="1"/>
        <v>0</v>
      </c>
      <c r="N32" s="218"/>
    </row>
    <row r="33" spans="1:14" ht="20.100000000000001" customHeight="1">
      <c r="A33" s="107">
        <v>26</v>
      </c>
      <c r="B33" s="109" t="s">
        <v>109</v>
      </c>
      <c r="C33" s="107">
        <f>+'cut list'!F171</f>
        <v>717</v>
      </c>
      <c r="D33" s="109"/>
      <c r="E33" s="107">
        <f>+'cut list'!G171</f>
        <v>447</v>
      </c>
      <c r="F33" s="107">
        <f>+'cut list'!I171</f>
        <v>0</v>
      </c>
      <c r="G33" s="107">
        <f t="shared" si="0"/>
        <v>0</v>
      </c>
      <c r="H33" s="109" t="s">
        <v>75</v>
      </c>
      <c r="I33" s="107" t="str">
        <f t="shared" si="2"/>
        <v>tbc</v>
      </c>
      <c r="J33" s="107" t="str">
        <f t="shared" si="2"/>
        <v>tbc</v>
      </c>
      <c r="K33" s="107" t="s">
        <v>76</v>
      </c>
      <c r="L33" s="108">
        <v>375</v>
      </c>
      <c r="M33" s="108">
        <f t="shared" si="1"/>
        <v>0</v>
      </c>
      <c r="N33" s="107">
        <v>2</v>
      </c>
    </row>
    <row r="34" spans="1:14" ht="20.100000000000001" customHeight="1">
      <c r="A34" s="107">
        <v>27</v>
      </c>
      <c r="B34" s="109" t="s">
        <v>92</v>
      </c>
      <c r="C34" s="107">
        <f>+'cut list'!F180</f>
        <v>717</v>
      </c>
      <c r="D34" s="109"/>
      <c r="E34" s="107">
        <f>+'cut list'!G180</f>
        <v>197</v>
      </c>
      <c r="F34" s="107">
        <f>+'cut list'!I187</f>
        <v>0</v>
      </c>
      <c r="G34" s="107">
        <f t="shared" si="0"/>
        <v>0</v>
      </c>
      <c r="H34" s="109" t="s">
        <v>75</v>
      </c>
      <c r="I34" s="107" t="str">
        <f t="shared" si="2"/>
        <v>tbc</v>
      </c>
      <c r="J34" s="107" t="str">
        <f t="shared" si="2"/>
        <v>tbc</v>
      </c>
      <c r="K34" s="107" t="s">
        <v>76</v>
      </c>
      <c r="L34" s="108">
        <v>375</v>
      </c>
      <c r="M34" s="108">
        <f t="shared" si="1"/>
        <v>0</v>
      </c>
      <c r="N34" s="107">
        <v>2</v>
      </c>
    </row>
    <row r="35" spans="1:14" ht="20.100000000000001" customHeight="1">
      <c r="A35" s="107">
        <v>28</v>
      </c>
      <c r="B35" s="109" t="s">
        <v>126</v>
      </c>
      <c r="C35" s="107">
        <f>+'cut list'!F187</f>
        <v>717</v>
      </c>
      <c r="D35" s="109"/>
      <c r="E35" s="107">
        <f>+'cut list'!G187</f>
        <v>147</v>
      </c>
      <c r="F35" s="107">
        <f>+'cut list'!I187</f>
        <v>0</v>
      </c>
      <c r="G35" s="107">
        <f t="shared" si="0"/>
        <v>0</v>
      </c>
      <c r="H35" s="109" t="s">
        <v>75</v>
      </c>
      <c r="I35" s="107" t="str">
        <f t="shared" si="2"/>
        <v>tbc</v>
      </c>
      <c r="J35" s="107" t="str">
        <f t="shared" si="2"/>
        <v>tbc</v>
      </c>
      <c r="K35" s="107" t="s">
        <v>76</v>
      </c>
      <c r="L35" s="108">
        <v>375</v>
      </c>
      <c r="M35" s="108">
        <f t="shared" si="1"/>
        <v>0</v>
      </c>
      <c r="N35" s="107">
        <v>2</v>
      </c>
    </row>
    <row r="36" spans="1:14" ht="20.100000000000001" customHeight="1">
      <c r="A36" s="107">
        <v>29</v>
      </c>
      <c r="B36" s="109" t="s">
        <v>139</v>
      </c>
      <c r="C36" s="107">
        <f>+'cut list'!F194</f>
        <v>1077</v>
      </c>
      <c r="D36" s="109"/>
      <c r="E36" s="107">
        <f>+'cut list'!G194</f>
        <v>447</v>
      </c>
      <c r="F36" s="107">
        <f>+'cut list'!I194</f>
        <v>0</v>
      </c>
      <c r="G36" s="107">
        <f t="shared" si="0"/>
        <v>0</v>
      </c>
      <c r="H36" s="109" t="s">
        <v>75</v>
      </c>
      <c r="I36" s="107" t="str">
        <f t="shared" si="2"/>
        <v>tbc</v>
      </c>
      <c r="J36" s="107" t="str">
        <f t="shared" si="2"/>
        <v>tbc</v>
      </c>
      <c r="K36" s="107" t="s">
        <v>76</v>
      </c>
      <c r="L36" s="108">
        <v>375</v>
      </c>
      <c r="M36" s="108">
        <f t="shared" si="1"/>
        <v>0</v>
      </c>
      <c r="N36" s="107"/>
    </row>
    <row r="37" spans="1:14" ht="20.100000000000001" customHeight="1">
      <c r="A37" s="107">
        <v>30</v>
      </c>
      <c r="B37" s="109" t="s">
        <v>139</v>
      </c>
      <c r="C37" s="107">
        <f>+'cut list'!F206</f>
        <v>1077</v>
      </c>
      <c r="D37" s="109"/>
      <c r="E37" s="107">
        <f>+'cut list'!G206</f>
        <v>279</v>
      </c>
      <c r="F37" s="107">
        <f>+'cut list'!I206</f>
        <v>0</v>
      </c>
      <c r="G37" s="107">
        <f t="shared" si="0"/>
        <v>0</v>
      </c>
      <c r="H37" s="109" t="s">
        <v>75</v>
      </c>
      <c r="I37" s="107" t="str">
        <f t="shared" si="2"/>
        <v>tbc</v>
      </c>
      <c r="J37" s="107" t="str">
        <f t="shared" si="2"/>
        <v>tbc</v>
      </c>
      <c r="K37" s="107" t="s">
        <v>76</v>
      </c>
      <c r="L37" s="108">
        <v>375</v>
      </c>
      <c r="M37" s="108">
        <f t="shared" si="1"/>
        <v>0</v>
      </c>
      <c r="N37" s="107"/>
    </row>
    <row r="38" spans="1:14" ht="20.100000000000001" customHeight="1">
      <c r="A38" s="107">
        <v>31</v>
      </c>
      <c r="B38" s="109" t="s">
        <v>139</v>
      </c>
      <c r="C38" s="107">
        <f>+'cut list'!F206</f>
        <v>1077</v>
      </c>
      <c r="D38" s="109"/>
      <c r="E38" s="107">
        <f>+'cut list'!H206</f>
        <v>279</v>
      </c>
      <c r="F38" s="107">
        <f>+'cut list'!I206</f>
        <v>0</v>
      </c>
      <c r="G38" s="107">
        <f t="shared" si="0"/>
        <v>0</v>
      </c>
      <c r="H38" s="109" t="s">
        <v>75</v>
      </c>
      <c r="I38" s="107" t="str">
        <f t="shared" si="2"/>
        <v>tbc</v>
      </c>
      <c r="J38" s="107" t="str">
        <f t="shared" si="2"/>
        <v>tbc</v>
      </c>
      <c r="K38" s="107" t="s">
        <v>76</v>
      </c>
      <c r="L38" s="108">
        <v>375</v>
      </c>
      <c r="M38" s="108">
        <f t="shared" si="1"/>
        <v>0</v>
      </c>
      <c r="N38" s="107"/>
    </row>
    <row r="39" spans="1:14" ht="20.100000000000001" customHeight="1">
      <c r="A39" s="107">
        <v>32</v>
      </c>
      <c r="B39" s="109" t="s">
        <v>139</v>
      </c>
      <c r="C39" s="107">
        <f>+'cut list'!F212</f>
        <v>1077</v>
      </c>
      <c r="D39" s="109"/>
      <c r="E39" s="107">
        <f>+'cut list'!G212</f>
        <v>481</v>
      </c>
      <c r="F39" s="107">
        <f>+'cut list'!I212</f>
        <v>0</v>
      </c>
      <c r="G39" s="107">
        <f t="shared" si="0"/>
        <v>0</v>
      </c>
      <c r="H39" s="109" t="s">
        <v>75</v>
      </c>
      <c r="I39" s="107" t="str">
        <f t="shared" si="2"/>
        <v>tbc</v>
      </c>
      <c r="J39" s="107" t="str">
        <f t="shared" si="2"/>
        <v>tbc</v>
      </c>
      <c r="K39" s="107" t="s">
        <v>76</v>
      </c>
      <c r="L39" s="108">
        <v>375</v>
      </c>
      <c r="M39" s="108">
        <f t="shared" si="1"/>
        <v>0</v>
      </c>
      <c r="N39" s="107"/>
    </row>
    <row r="40" spans="1:14" s="234" customFormat="1" ht="20.100000000000001" customHeight="1">
      <c r="A40" s="107">
        <v>32</v>
      </c>
      <c r="B40" s="109" t="s">
        <v>139</v>
      </c>
      <c r="C40" s="107">
        <f>+'cut list'!F218</f>
        <v>1077</v>
      </c>
      <c r="D40" s="109"/>
      <c r="E40" s="107">
        <f>+'cut list'!G218</f>
        <v>461</v>
      </c>
      <c r="F40" s="107">
        <f>+'cut list'!I224</f>
        <v>0</v>
      </c>
      <c r="G40" s="107">
        <f t="shared" ref="G40:G55" si="3">+F40*E40/1000*C40/1000</f>
        <v>0</v>
      </c>
      <c r="H40" s="109" t="s">
        <v>75</v>
      </c>
      <c r="I40" s="107" t="str">
        <f t="shared" si="2"/>
        <v>tbc</v>
      </c>
      <c r="J40" s="107" t="str">
        <f t="shared" si="2"/>
        <v>tbc</v>
      </c>
      <c r="K40" s="107" t="s">
        <v>76</v>
      </c>
      <c r="L40" s="108">
        <v>375</v>
      </c>
      <c r="M40" s="108">
        <f t="shared" ref="M40:M55" si="4">L40*G40</f>
        <v>0</v>
      </c>
      <c r="N40" s="107"/>
    </row>
    <row r="41" spans="1:14" s="254" customFormat="1" ht="20.100000000000001" customHeight="1">
      <c r="A41" s="107"/>
      <c r="B41" s="109" t="s">
        <v>139</v>
      </c>
      <c r="C41" s="107">
        <f>+'cut list'!F200</f>
        <v>1077</v>
      </c>
      <c r="D41" s="109"/>
      <c r="E41" s="107">
        <f>+'cut list'!G200</f>
        <v>369.5</v>
      </c>
      <c r="F41" s="107">
        <f>+'cut list'!I200</f>
        <v>0</v>
      </c>
      <c r="G41" s="107"/>
      <c r="H41" s="109"/>
      <c r="I41" s="107"/>
      <c r="J41" s="107"/>
      <c r="K41" s="107"/>
      <c r="L41" s="108"/>
      <c r="M41" s="108"/>
      <c r="N41" s="107"/>
    </row>
    <row r="42" spans="1:14" s="234" customFormat="1" ht="20.100000000000001" customHeight="1">
      <c r="A42" s="107">
        <v>32</v>
      </c>
      <c r="B42" s="109" t="s">
        <v>139</v>
      </c>
      <c r="C42" s="107">
        <f>+'cut list'!F224</f>
        <v>1077</v>
      </c>
      <c r="D42" s="109"/>
      <c r="E42" s="107">
        <f>+'cut list'!G224</f>
        <v>497</v>
      </c>
      <c r="F42" s="107">
        <f>+'cut list'!I224</f>
        <v>0</v>
      </c>
      <c r="G42" s="107">
        <f t="shared" si="3"/>
        <v>0</v>
      </c>
      <c r="H42" s="109" t="s">
        <v>75</v>
      </c>
      <c r="I42" s="107" t="str">
        <f t="shared" si="2"/>
        <v>tbc</v>
      </c>
      <c r="J42" s="107" t="str">
        <f t="shared" si="2"/>
        <v>tbc</v>
      </c>
      <c r="K42" s="107" t="s">
        <v>76</v>
      </c>
      <c r="L42" s="108">
        <v>375</v>
      </c>
      <c r="M42" s="108">
        <f t="shared" si="4"/>
        <v>0</v>
      </c>
      <c r="N42" s="107"/>
    </row>
    <row r="43" spans="1:14" s="252" customFormat="1" ht="20.100000000000001" customHeight="1">
      <c r="A43" s="107">
        <v>32</v>
      </c>
      <c r="B43" s="109" t="s">
        <v>139</v>
      </c>
      <c r="C43" s="107">
        <f>+'cut list'!F241</f>
        <v>1077</v>
      </c>
      <c r="D43" s="109"/>
      <c r="E43" s="107">
        <f>+'cut list'!G241</f>
        <v>197</v>
      </c>
      <c r="F43" s="107">
        <f>+'cut list'!I241</f>
        <v>0</v>
      </c>
      <c r="G43" s="107">
        <f t="shared" ref="G43" si="5">+F43*E43/1000*C43/1000</f>
        <v>0</v>
      </c>
      <c r="H43" s="109" t="s">
        <v>75</v>
      </c>
      <c r="I43" s="107" t="str">
        <f t="shared" si="2"/>
        <v>tbc</v>
      </c>
      <c r="J43" s="107" t="str">
        <f t="shared" si="2"/>
        <v>tbc</v>
      </c>
      <c r="K43" s="107" t="s">
        <v>76</v>
      </c>
      <c r="L43" s="108">
        <v>375</v>
      </c>
      <c r="M43" s="108">
        <f t="shared" ref="M43" si="6">L43*G43</f>
        <v>0</v>
      </c>
      <c r="N43" s="107"/>
    </row>
    <row r="44" spans="1:14" s="234" customFormat="1" ht="20.100000000000001" customHeight="1">
      <c r="A44" s="107">
        <v>32</v>
      </c>
      <c r="B44" s="109" t="s">
        <v>140</v>
      </c>
      <c r="C44" s="107">
        <f>+'cut list'!F253</f>
        <v>717</v>
      </c>
      <c r="D44" s="109"/>
      <c r="E44" s="107">
        <f>+'cut list'!G253</f>
        <v>447</v>
      </c>
      <c r="F44" s="107">
        <f>+'cut list'!I253</f>
        <v>0</v>
      </c>
      <c r="G44" s="107">
        <f t="shared" si="3"/>
        <v>0</v>
      </c>
      <c r="H44" s="109" t="s">
        <v>75</v>
      </c>
      <c r="I44" s="107" t="str">
        <f t="shared" si="2"/>
        <v>tbc</v>
      </c>
      <c r="J44" s="107" t="str">
        <f t="shared" si="2"/>
        <v>tbc</v>
      </c>
      <c r="K44" s="107" t="s">
        <v>76</v>
      </c>
      <c r="L44" s="108">
        <v>375</v>
      </c>
      <c r="M44" s="108">
        <f t="shared" si="4"/>
        <v>0</v>
      </c>
      <c r="N44" s="107"/>
    </row>
    <row r="45" spans="1:14" s="234" customFormat="1" ht="20.100000000000001" customHeight="1">
      <c r="A45" s="107">
        <v>32</v>
      </c>
      <c r="B45" s="109" t="s">
        <v>140</v>
      </c>
      <c r="C45" s="107">
        <f>+'cut list'!F259</f>
        <v>717</v>
      </c>
      <c r="D45" s="109"/>
      <c r="E45" s="107">
        <f>+'cut list'!G259</f>
        <v>372</v>
      </c>
      <c r="F45" s="107">
        <f>+'cut list'!I259</f>
        <v>0</v>
      </c>
      <c r="G45" s="107">
        <f t="shared" si="3"/>
        <v>0</v>
      </c>
      <c r="H45" s="109" t="s">
        <v>75</v>
      </c>
      <c r="I45" s="107" t="str">
        <f t="shared" si="2"/>
        <v>tbc</v>
      </c>
      <c r="J45" s="107" t="str">
        <f t="shared" si="2"/>
        <v>tbc</v>
      </c>
      <c r="K45" s="107" t="s">
        <v>76</v>
      </c>
      <c r="L45" s="108">
        <v>375</v>
      </c>
      <c r="M45" s="108">
        <f t="shared" si="4"/>
        <v>0</v>
      </c>
      <c r="N45" s="107"/>
    </row>
    <row r="46" spans="1:14" s="234" customFormat="1" ht="20.100000000000001" customHeight="1">
      <c r="A46" s="107">
        <v>32</v>
      </c>
      <c r="B46" s="109" t="s">
        <v>140</v>
      </c>
      <c r="C46" s="107">
        <f>+'cut list'!F265</f>
        <v>717</v>
      </c>
      <c r="D46" s="109"/>
      <c r="E46" s="107">
        <f>+'cut list'!G265</f>
        <v>597</v>
      </c>
      <c r="F46" s="107">
        <f>+'cut list'!I265</f>
        <v>0</v>
      </c>
      <c r="G46" s="107">
        <f t="shared" si="3"/>
        <v>0</v>
      </c>
      <c r="H46" s="109" t="s">
        <v>75</v>
      </c>
      <c r="I46" s="107" t="str">
        <f t="shared" si="2"/>
        <v>tbc</v>
      </c>
      <c r="J46" s="107" t="str">
        <f t="shared" si="2"/>
        <v>tbc</v>
      </c>
      <c r="K46" s="107" t="s">
        <v>76</v>
      </c>
      <c r="L46" s="108">
        <v>375</v>
      </c>
      <c r="M46" s="108">
        <f t="shared" si="4"/>
        <v>0</v>
      </c>
      <c r="N46" s="107"/>
    </row>
    <row r="47" spans="1:14" s="234" customFormat="1" ht="20.100000000000001" customHeight="1">
      <c r="A47" s="107">
        <v>32</v>
      </c>
      <c r="B47" s="109" t="s">
        <v>140</v>
      </c>
      <c r="C47" s="107">
        <f>+'cut list'!F271</f>
        <v>717</v>
      </c>
      <c r="D47" s="109"/>
      <c r="E47" s="107">
        <f>+'cut list'!G271</f>
        <v>297</v>
      </c>
      <c r="F47" s="107">
        <f>+'cut list'!I271</f>
        <v>0</v>
      </c>
      <c r="G47" s="107">
        <f t="shared" ref="G47" si="7">+F47*E47/1000*C47/1000</f>
        <v>0</v>
      </c>
      <c r="H47" s="109" t="s">
        <v>75</v>
      </c>
      <c r="I47" s="107" t="str">
        <f t="shared" si="2"/>
        <v>tbc</v>
      </c>
      <c r="J47" s="107" t="str">
        <f t="shared" si="2"/>
        <v>tbc</v>
      </c>
      <c r="K47" s="107" t="s">
        <v>76</v>
      </c>
      <c r="L47" s="108">
        <v>375</v>
      </c>
      <c r="M47" s="108">
        <f t="shared" ref="M47" si="8">L47*G47</f>
        <v>0</v>
      </c>
      <c r="N47" s="107"/>
    </row>
    <row r="48" spans="1:14" s="234" customFormat="1" ht="20.100000000000001" customHeight="1">
      <c r="A48" s="107">
        <v>32</v>
      </c>
      <c r="B48" s="109" t="s">
        <v>140</v>
      </c>
      <c r="C48" s="107">
        <f>+'cut list'!F282</f>
        <v>717</v>
      </c>
      <c r="D48" s="109"/>
      <c r="E48" s="107">
        <f>+'cut list'!G282</f>
        <v>447</v>
      </c>
      <c r="F48" s="107">
        <f>+'cut list'!I282</f>
        <v>0</v>
      </c>
      <c r="G48" s="107">
        <f t="shared" si="3"/>
        <v>0</v>
      </c>
      <c r="H48" s="109" t="s">
        <v>75</v>
      </c>
      <c r="I48" s="107" t="str">
        <f t="shared" si="2"/>
        <v>tbc</v>
      </c>
      <c r="J48" s="107" t="str">
        <f t="shared" si="2"/>
        <v>tbc</v>
      </c>
      <c r="K48" s="107" t="s">
        <v>76</v>
      </c>
      <c r="L48" s="108">
        <v>375</v>
      </c>
      <c r="M48" s="108">
        <f t="shared" si="4"/>
        <v>0</v>
      </c>
      <c r="N48" s="107"/>
    </row>
    <row r="49" spans="1:14" s="234" customFormat="1" ht="20.100000000000001" customHeight="1">
      <c r="A49" s="107">
        <v>32</v>
      </c>
      <c r="B49" s="109" t="s">
        <v>140</v>
      </c>
      <c r="C49" s="107">
        <f>+'cut list'!F294</f>
        <v>717</v>
      </c>
      <c r="D49" s="109"/>
      <c r="E49" s="107">
        <f>+'cut list'!G294</f>
        <v>287</v>
      </c>
      <c r="F49" s="107">
        <f>+'cut list'!I294</f>
        <v>0</v>
      </c>
      <c r="G49" s="107">
        <f t="shared" si="3"/>
        <v>0</v>
      </c>
      <c r="H49" s="109" t="s">
        <v>75</v>
      </c>
      <c r="I49" s="107" t="str">
        <f t="shared" si="2"/>
        <v>tbc</v>
      </c>
      <c r="J49" s="107" t="str">
        <f t="shared" si="2"/>
        <v>tbc</v>
      </c>
      <c r="K49" s="107" t="s">
        <v>76</v>
      </c>
      <c r="L49" s="108">
        <v>375</v>
      </c>
      <c r="M49" s="108">
        <f t="shared" si="4"/>
        <v>0</v>
      </c>
      <c r="N49" s="107"/>
    </row>
    <row r="50" spans="1:14" s="234" customFormat="1" ht="20.100000000000001" customHeight="1">
      <c r="A50" s="107">
        <v>32</v>
      </c>
      <c r="B50" s="109" t="s">
        <v>140</v>
      </c>
      <c r="C50" s="107">
        <f>+'cut list'!F299</f>
        <v>717</v>
      </c>
      <c r="D50" s="109"/>
      <c r="E50" s="107">
        <f>+'cut list'!G299</f>
        <v>197</v>
      </c>
      <c r="F50" s="107">
        <f>+'cut list'!I299</f>
        <v>0</v>
      </c>
      <c r="G50" s="107">
        <f t="shared" si="3"/>
        <v>0</v>
      </c>
      <c r="H50" s="109" t="s">
        <v>75</v>
      </c>
      <c r="I50" s="107" t="str">
        <f t="shared" si="2"/>
        <v>tbc</v>
      </c>
      <c r="J50" s="107" t="str">
        <f t="shared" si="2"/>
        <v>tbc</v>
      </c>
      <c r="K50" s="107" t="s">
        <v>76</v>
      </c>
      <c r="L50" s="108">
        <v>375</v>
      </c>
      <c r="M50" s="108">
        <f t="shared" si="4"/>
        <v>0</v>
      </c>
      <c r="N50" s="107"/>
    </row>
    <row r="51" spans="1:14" s="234" customFormat="1" ht="20.100000000000001" customHeight="1">
      <c r="A51" s="107">
        <v>32</v>
      </c>
      <c r="B51" s="109" t="s">
        <v>140</v>
      </c>
      <c r="C51" s="107">
        <f>+'cut list'!F305</f>
        <v>717</v>
      </c>
      <c r="D51" s="109"/>
      <c r="E51" s="107">
        <f>+'cut list'!G305</f>
        <v>147</v>
      </c>
      <c r="F51" s="107">
        <f>+'cut list'!I305</f>
        <v>0</v>
      </c>
      <c r="G51" s="107">
        <f t="shared" si="3"/>
        <v>0</v>
      </c>
      <c r="H51" s="109" t="s">
        <v>75</v>
      </c>
      <c r="I51" s="107" t="str">
        <f t="shared" si="2"/>
        <v>tbc</v>
      </c>
      <c r="J51" s="107" t="str">
        <f t="shared" si="2"/>
        <v>tbc</v>
      </c>
      <c r="K51" s="107" t="s">
        <v>76</v>
      </c>
      <c r="L51" s="108">
        <v>375</v>
      </c>
      <c r="M51" s="108">
        <f t="shared" si="4"/>
        <v>0</v>
      </c>
      <c r="N51" s="107"/>
    </row>
    <row r="52" spans="1:14" s="234" customFormat="1" ht="20.100000000000001" customHeight="1">
      <c r="A52" s="107">
        <v>32</v>
      </c>
      <c r="B52" s="109" t="s">
        <v>142</v>
      </c>
      <c r="C52" s="107">
        <f>+'cut list'!F311</f>
        <v>2293</v>
      </c>
      <c r="D52" s="109"/>
      <c r="E52" s="107">
        <f>+'cut list'!G311</f>
        <v>447</v>
      </c>
      <c r="F52" s="107">
        <f>+'cut list'!I311</f>
        <v>0</v>
      </c>
      <c r="G52" s="107">
        <f t="shared" si="3"/>
        <v>0</v>
      </c>
      <c r="H52" s="109" t="s">
        <v>75</v>
      </c>
      <c r="I52" s="107" t="str">
        <f t="shared" si="2"/>
        <v>tbc</v>
      </c>
      <c r="J52" s="107" t="str">
        <f t="shared" si="2"/>
        <v>tbc</v>
      </c>
      <c r="K52" s="107" t="s">
        <v>76</v>
      </c>
      <c r="L52" s="108">
        <v>375</v>
      </c>
      <c r="M52" s="108">
        <f t="shared" si="4"/>
        <v>0</v>
      </c>
      <c r="N52" s="107"/>
    </row>
    <row r="53" spans="1:14" s="234" customFormat="1" ht="20.100000000000001" customHeight="1">
      <c r="A53" s="107">
        <v>32</v>
      </c>
      <c r="B53" s="109" t="s">
        <v>142</v>
      </c>
      <c r="C53" s="107">
        <f>+'cut list'!F318</f>
        <v>2293</v>
      </c>
      <c r="D53" s="109"/>
      <c r="E53" s="107">
        <f>+'cut list'!G318</f>
        <v>0</v>
      </c>
      <c r="F53" s="107">
        <f>+'cut list'!I318</f>
        <v>0</v>
      </c>
      <c r="G53" s="107">
        <f t="shared" si="3"/>
        <v>0</v>
      </c>
      <c r="H53" s="109" t="s">
        <v>75</v>
      </c>
      <c r="I53" s="107" t="str">
        <f t="shared" si="2"/>
        <v>tbc</v>
      </c>
      <c r="J53" s="107" t="str">
        <f t="shared" si="2"/>
        <v>tbc</v>
      </c>
      <c r="K53" s="107" t="s">
        <v>76</v>
      </c>
      <c r="L53" s="108">
        <v>375</v>
      </c>
      <c r="M53" s="108">
        <f t="shared" si="4"/>
        <v>0</v>
      </c>
      <c r="N53" s="107"/>
    </row>
    <row r="54" spans="1:14" s="234" customFormat="1" ht="20.100000000000001" customHeight="1">
      <c r="A54" s="107">
        <v>32</v>
      </c>
      <c r="B54" s="109" t="s">
        <v>142</v>
      </c>
      <c r="C54" s="107">
        <f>+'cut list'!F327</f>
        <v>2293</v>
      </c>
      <c r="D54" s="109"/>
      <c r="E54" s="107">
        <f>+'cut list'!G327</f>
        <v>372</v>
      </c>
      <c r="F54" s="107">
        <f>+'cut list'!I327</f>
        <v>0</v>
      </c>
      <c r="G54" s="107">
        <f t="shared" si="3"/>
        <v>0</v>
      </c>
      <c r="H54" s="109" t="s">
        <v>75</v>
      </c>
      <c r="I54" s="107" t="str">
        <f t="shared" si="2"/>
        <v>tbc</v>
      </c>
      <c r="J54" s="107" t="str">
        <f t="shared" si="2"/>
        <v>tbc</v>
      </c>
      <c r="K54" s="107" t="s">
        <v>76</v>
      </c>
      <c r="L54" s="108">
        <v>375</v>
      </c>
      <c r="M54" s="108">
        <f t="shared" si="4"/>
        <v>0</v>
      </c>
      <c r="N54" s="107"/>
    </row>
    <row r="55" spans="1:14" s="234" customFormat="1" ht="20.100000000000001" customHeight="1">
      <c r="A55" s="107">
        <v>32</v>
      </c>
      <c r="B55" s="109" t="s">
        <v>142</v>
      </c>
      <c r="C55" s="107">
        <f>+'cut list'!F334</f>
        <v>2293</v>
      </c>
      <c r="D55" s="109"/>
      <c r="E55" s="107">
        <f>+'cut list'!G334</f>
        <v>597</v>
      </c>
      <c r="F55" s="107">
        <f>+'cut list'!I334</f>
        <v>0</v>
      </c>
      <c r="G55" s="107">
        <f t="shared" si="3"/>
        <v>0</v>
      </c>
      <c r="H55" s="109" t="s">
        <v>75</v>
      </c>
      <c r="I55" s="107" t="str">
        <f t="shared" si="2"/>
        <v>tbc</v>
      </c>
      <c r="J55" s="107" t="str">
        <f t="shared" si="2"/>
        <v>tbc</v>
      </c>
      <c r="K55" s="107" t="s">
        <v>76</v>
      </c>
      <c r="L55" s="108">
        <v>375</v>
      </c>
      <c r="M55" s="108">
        <f t="shared" si="4"/>
        <v>0</v>
      </c>
      <c r="N55" s="107"/>
    </row>
    <row r="56" spans="1:14" ht="20.100000000000001" customHeight="1">
      <c r="A56" s="107">
        <v>33</v>
      </c>
      <c r="B56" s="109" t="s">
        <v>142</v>
      </c>
      <c r="C56" s="107">
        <f>+'cut list'!F341</f>
        <v>2293</v>
      </c>
      <c r="D56" s="109"/>
      <c r="E56" s="107">
        <f>+'cut list'!G341</f>
        <v>447</v>
      </c>
      <c r="F56" s="107">
        <f>+'cut list'!I341</f>
        <v>0</v>
      </c>
      <c r="G56" s="107">
        <f t="shared" si="0"/>
        <v>0</v>
      </c>
      <c r="H56" s="109" t="s">
        <v>75</v>
      </c>
      <c r="I56" s="107" t="str">
        <f t="shared" si="2"/>
        <v>tbc</v>
      </c>
      <c r="J56" s="107" t="str">
        <f t="shared" si="2"/>
        <v>tbc</v>
      </c>
      <c r="K56" s="107" t="s">
        <v>78</v>
      </c>
      <c r="L56" s="108">
        <v>375</v>
      </c>
      <c r="M56" s="108">
        <f t="shared" si="1"/>
        <v>0</v>
      </c>
      <c r="N56" s="107"/>
    </row>
    <row r="57" spans="1:14" ht="20.100000000000001" customHeight="1">
      <c r="A57" s="107">
        <v>34</v>
      </c>
      <c r="B57" s="109" t="s">
        <v>142</v>
      </c>
      <c r="C57" s="107">
        <f>+'cut list'!F348</f>
        <v>2293</v>
      </c>
      <c r="D57" s="109"/>
      <c r="E57" s="107">
        <f>+'cut list'!G348</f>
        <v>297</v>
      </c>
      <c r="F57" s="107">
        <f>+'cut list'!I348</f>
        <v>0</v>
      </c>
      <c r="G57" s="107">
        <f t="shared" ref="G57:G58" si="9">+F57*E57/1000*C57/1000</f>
        <v>0</v>
      </c>
      <c r="H57" s="109" t="s">
        <v>75</v>
      </c>
      <c r="I57" s="107" t="str">
        <f t="shared" si="2"/>
        <v>tbc</v>
      </c>
      <c r="J57" s="107" t="str">
        <f t="shared" si="2"/>
        <v>tbc</v>
      </c>
      <c r="K57" s="107" t="s">
        <v>77</v>
      </c>
      <c r="L57" s="108">
        <v>375</v>
      </c>
      <c r="M57" s="108">
        <f t="shared" si="1"/>
        <v>0</v>
      </c>
      <c r="N57" s="107"/>
    </row>
    <row r="58" spans="1:14" s="234" customFormat="1" ht="20.100000000000001" customHeight="1">
      <c r="A58" s="107">
        <v>33</v>
      </c>
      <c r="B58" s="109" t="s">
        <v>142</v>
      </c>
      <c r="C58" s="107">
        <f>+'cut list'!F355</f>
        <v>2293</v>
      </c>
      <c r="D58" s="109"/>
      <c r="E58" s="107">
        <f>+'cut list'!G355</f>
        <v>597</v>
      </c>
      <c r="F58" s="107">
        <f>+'cut list'!I355</f>
        <v>0</v>
      </c>
      <c r="G58" s="107">
        <f t="shared" si="9"/>
        <v>0</v>
      </c>
      <c r="H58" s="109" t="s">
        <v>75</v>
      </c>
      <c r="I58" s="107" t="str">
        <f t="shared" si="2"/>
        <v>tbc</v>
      </c>
      <c r="J58" s="107" t="str">
        <f t="shared" si="2"/>
        <v>tbc</v>
      </c>
      <c r="K58" s="107" t="s">
        <v>78</v>
      </c>
      <c r="L58" s="108">
        <v>375</v>
      </c>
      <c r="M58" s="108">
        <f t="shared" ref="M58:M66" si="10">L58*G58</f>
        <v>0</v>
      </c>
      <c r="N58" s="107"/>
    </row>
    <row r="59" spans="1:14" s="234" customFormat="1" ht="20.100000000000001" customHeight="1">
      <c r="A59" s="107">
        <v>34</v>
      </c>
      <c r="B59" s="109" t="s">
        <v>142</v>
      </c>
      <c r="C59" s="107">
        <f>+'cut list'!F362</f>
        <v>2293</v>
      </c>
      <c r="D59" s="109"/>
      <c r="E59" s="107">
        <f>+'cut list'!G362</f>
        <v>447</v>
      </c>
      <c r="F59" s="107">
        <f>+'cut list'!I362</f>
        <v>0</v>
      </c>
      <c r="G59" s="107">
        <f t="shared" ref="G59:G66" si="11">+F59*E59/1000*C59/1000</f>
        <v>0</v>
      </c>
      <c r="H59" s="109" t="s">
        <v>75</v>
      </c>
      <c r="I59" s="107" t="str">
        <f t="shared" ref="I59:J66" si="12">+I$3</f>
        <v>tbc</v>
      </c>
      <c r="J59" s="107" t="str">
        <f t="shared" si="12"/>
        <v>tbc</v>
      </c>
      <c r="K59" s="107" t="s">
        <v>77</v>
      </c>
      <c r="L59" s="108">
        <v>375</v>
      </c>
      <c r="M59" s="108">
        <f t="shared" si="10"/>
        <v>0</v>
      </c>
      <c r="N59" s="107"/>
    </row>
    <row r="60" spans="1:14" s="234" customFormat="1" ht="20.100000000000001" customHeight="1">
      <c r="A60" s="107">
        <v>33</v>
      </c>
      <c r="B60" s="109" t="s">
        <v>142</v>
      </c>
      <c r="C60" s="107">
        <f>+'cut list'!F369</f>
        <v>2293</v>
      </c>
      <c r="D60" s="109"/>
      <c r="E60" s="107">
        <f>+'cut list'!G369</f>
        <v>297</v>
      </c>
      <c r="F60" s="107">
        <f>+'cut list'!I369</f>
        <v>0</v>
      </c>
      <c r="G60" s="107">
        <f t="shared" si="11"/>
        <v>0</v>
      </c>
      <c r="H60" s="109" t="s">
        <v>75</v>
      </c>
      <c r="I60" s="107" t="str">
        <f t="shared" si="12"/>
        <v>tbc</v>
      </c>
      <c r="J60" s="107" t="str">
        <f t="shared" si="12"/>
        <v>tbc</v>
      </c>
      <c r="K60" s="107" t="s">
        <v>78</v>
      </c>
      <c r="L60" s="108">
        <v>375</v>
      </c>
      <c r="M60" s="108">
        <f t="shared" si="10"/>
        <v>0</v>
      </c>
      <c r="N60" s="107"/>
    </row>
    <row r="61" spans="1:14" s="234" customFormat="1" ht="20.100000000000001" customHeight="1">
      <c r="A61" s="107">
        <v>34</v>
      </c>
      <c r="B61" s="109" t="s">
        <v>143</v>
      </c>
      <c r="C61" s="107">
        <f>+'cut list'!F376</f>
        <v>2500</v>
      </c>
      <c r="D61" s="109"/>
      <c r="E61" s="107">
        <f>+'cut list'!G376</f>
        <v>372</v>
      </c>
      <c r="F61" s="107">
        <f>+'cut list'!I376</f>
        <v>0</v>
      </c>
      <c r="G61" s="107">
        <f t="shared" ref="G61:G65" si="13">+F61*E61/1000*C61/1000</f>
        <v>0</v>
      </c>
      <c r="H61" s="109" t="s">
        <v>75</v>
      </c>
      <c r="I61" s="107" t="str">
        <f t="shared" si="12"/>
        <v>tbc</v>
      </c>
      <c r="J61" s="107" t="str">
        <f t="shared" si="12"/>
        <v>tbc</v>
      </c>
      <c r="K61" s="107" t="s">
        <v>77</v>
      </c>
      <c r="L61" s="108">
        <v>375</v>
      </c>
      <c r="M61" s="108">
        <f t="shared" ref="M61:M65" si="14">L61*G61</f>
        <v>0</v>
      </c>
      <c r="N61" s="107"/>
    </row>
    <row r="62" spans="1:14" s="234" customFormat="1" ht="20.100000000000001" customHeight="1">
      <c r="A62" s="107">
        <v>34</v>
      </c>
      <c r="B62" s="109" t="s">
        <v>143</v>
      </c>
      <c r="C62" s="107">
        <f>+'cut list'!F380</f>
        <v>2500</v>
      </c>
      <c r="D62" s="109"/>
      <c r="E62" s="107">
        <f>+'cut list'!G380</f>
        <v>447</v>
      </c>
      <c r="F62" s="107">
        <f>+'cut list'!I380</f>
        <v>0</v>
      </c>
      <c r="G62" s="107">
        <f t="shared" si="13"/>
        <v>0</v>
      </c>
      <c r="H62" s="109" t="s">
        <v>75</v>
      </c>
      <c r="I62" s="107" t="str">
        <f t="shared" si="12"/>
        <v>tbc</v>
      </c>
      <c r="J62" s="107" t="str">
        <f t="shared" si="12"/>
        <v>tbc</v>
      </c>
      <c r="K62" s="107" t="s">
        <v>77</v>
      </c>
      <c r="L62" s="108">
        <v>375</v>
      </c>
      <c r="M62" s="108">
        <f t="shared" si="14"/>
        <v>0</v>
      </c>
      <c r="N62" s="107"/>
    </row>
    <row r="63" spans="1:14" s="234" customFormat="1" ht="20.100000000000001" customHeight="1">
      <c r="A63" s="107">
        <v>34</v>
      </c>
      <c r="B63" s="109" t="s">
        <v>143</v>
      </c>
      <c r="C63" s="107">
        <f>+'cut list'!F384</f>
        <v>2500</v>
      </c>
      <c r="D63" s="109"/>
      <c r="E63" s="107">
        <f>+'cut list'!G384</f>
        <v>597</v>
      </c>
      <c r="F63" s="107">
        <f>+'cut list'!I384</f>
        <v>0</v>
      </c>
      <c r="G63" s="107">
        <f t="shared" si="13"/>
        <v>0</v>
      </c>
      <c r="H63" s="109" t="s">
        <v>75</v>
      </c>
      <c r="I63" s="107" t="str">
        <f t="shared" si="12"/>
        <v>tbc</v>
      </c>
      <c r="J63" s="107" t="str">
        <f t="shared" si="12"/>
        <v>tbc</v>
      </c>
      <c r="K63" s="107" t="s">
        <v>77</v>
      </c>
      <c r="L63" s="108">
        <v>375</v>
      </c>
      <c r="M63" s="108">
        <f t="shared" si="14"/>
        <v>0</v>
      </c>
      <c r="N63" s="107"/>
    </row>
    <row r="64" spans="1:14" s="234" customFormat="1" ht="20.100000000000001" customHeight="1">
      <c r="A64" s="107">
        <v>34</v>
      </c>
      <c r="B64" s="109" t="s">
        <v>143</v>
      </c>
      <c r="C64" s="107">
        <f>+'cut list'!F388</f>
        <v>2500</v>
      </c>
      <c r="D64" s="109"/>
      <c r="E64" s="107">
        <f>+'cut list'!G388</f>
        <v>497</v>
      </c>
      <c r="F64" s="107">
        <f>+'cut list'!I388</f>
        <v>0</v>
      </c>
      <c r="G64" s="107">
        <f t="shared" si="13"/>
        <v>0</v>
      </c>
      <c r="H64" s="109" t="s">
        <v>75</v>
      </c>
      <c r="I64" s="107" t="str">
        <f t="shared" si="12"/>
        <v>tbc</v>
      </c>
      <c r="J64" s="107" t="str">
        <f t="shared" si="12"/>
        <v>tbc</v>
      </c>
      <c r="K64" s="107" t="s">
        <v>77</v>
      </c>
      <c r="L64" s="108">
        <v>375</v>
      </c>
      <c r="M64" s="108">
        <f t="shared" si="14"/>
        <v>0</v>
      </c>
      <c r="N64" s="107"/>
    </row>
    <row r="65" spans="1:14" s="234" customFormat="1" ht="20.100000000000001" customHeight="1">
      <c r="A65" s="107">
        <v>34</v>
      </c>
      <c r="B65" s="109" t="s">
        <v>143</v>
      </c>
      <c r="C65" s="107"/>
      <c r="D65" s="109"/>
      <c r="E65" s="107"/>
      <c r="F65" s="107"/>
      <c r="G65" s="107">
        <f t="shared" si="13"/>
        <v>0</v>
      </c>
      <c r="H65" s="109" t="s">
        <v>75</v>
      </c>
      <c r="I65" s="107" t="str">
        <f t="shared" si="12"/>
        <v>tbc</v>
      </c>
      <c r="J65" s="107" t="str">
        <f t="shared" si="12"/>
        <v>tbc</v>
      </c>
      <c r="K65" s="107" t="s">
        <v>77</v>
      </c>
      <c r="L65" s="108">
        <v>375</v>
      </c>
      <c r="M65" s="108">
        <f t="shared" si="14"/>
        <v>0</v>
      </c>
      <c r="N65" s="107"/>
    </row>
    <row r="66" spans="1:14" s="234" customFormat="1" ht="20.100000000000001" customHeight="1">
      <c r="A66" s="107">
        <v>34</v>
      </c>
      <c r="B66" s="109" t="s">
        <v>143</v>
      </c>
      <c r="C66" s="107"/>
      <c r="D66" s="109"/>
      <c r="E66" s="107"/>
      <c r="F66" s="107"/>
      <c r="G66" s="107">
        <f t="shared" si="11"/>
        <v>0</v>
      </c>
      <c r="H66" s="109" t="s">
        <v>75</v>
      </c>
      <c r="I66" s="107" t="str">
        <f t="shared" si="12"/>
        <v>tbc</v>
      </c>
      <c r="J66" s="107" t="str">
        <f t="shared" si="12"/>
        <v>tbc</v>
      </c>
      <c r="K66" s="107" t="s">
        <v>77</v>
      </c>
      <c r="L66" s="108">
        <v>375</v>
      </c>
      <c r="M66" s="108">
        <f t="shared" si="10"/>
        <v>0</v>
      </c>
      <c r="N66" s="107"/>
    </row>
    <row r="67" spans="1:14" ht="20.100000000000001" customHeight="1">
      <c r="A67" s="283" t="s">
        <v>79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5"/>
      <c r="M67" s="110">
        <f>SUM(M7:M66)</f>
        <v>0</v>
      </c>
      <c r="N67" s="107"/>
    </row>
    <row r="68" spans="1:14" ht="20.100000000000001" customHeight="1">
      <c r="B68" s="111"/>
      <c r="C68" s="111"/>
      <c r="D68" s="111"/>
      <c r="E68" s="111"/>
      <c r="F68" s="111"/>
      <c r="H68" s="111"/>
    </row>
    <row r="69" spans="1:14" ht="20.100000000000001" customHeight="1">
      <c r="B69" s="111"/>
      <c r="C69" s="111"/>
      <c r="D69" s="112"/>
      <c r="E69" s="112"/>
      <c r="F69" s="112"/>
      <c r="H69" s="111"/>
    </row>
    <row r="70" spans="1:14" ht="20.100000000000001" customHeight="1">
      <c r="B70" s="111"/>
      <c r="C70" s="111"/>
      <c r="D70" s="112"/>
      <c r="E70" s="112"/>
      <c r="F70" s="112"/>
      <c r="H70" s="111"/>
    </row>
    <row r="71" spans="1:14" ht="20.100000000000001" customHeight="1">
      <c r="B71" s="111"/>
      <c r="C71" s="111"/>
      <c r="D71" s="112"/>
      <c r="E71" s="112"/>
      <c r="F71" s="112"/>
      <c r="H71" s="111"/>
    </row>
    <row r="72" spans="1:14" ht="20.100000000000001" customHeight="1">
      <c r="B72" s="111"/>
      <c r="C72" s="111"/>
      <c r="D72" s="112"/>
      <c r="E72" s="112"/>
      <c r="F72" s="112"/>
      <c r="H72" s="111"/>
    </row>
    <row r="73" spans="1:14" ht="20.100000000000001" customHeight="1">
      <c r="B73" s="111"/>
      <c r="C73" s="111"/>
      <c r="D73" s="112"/>
      <c r="E73" s="112"/>
      <c r="F73" s="112"/>
      <c r="H73" s="111"/>
    </row>
    <row r="74" spans="1:14" ht="20.100000000000001" customHeight="1">
      <c r="B74" s="111"/>
      <c r="C74" s="111"/>
      <c r="D74" s="111"/>
      <c r="E74" s="111"/>
      <c r="F74" s="111"/>
      <c r="H74" s="111"/>
    </row>
    <row r="75" spans="1:14" ht="20.100000000000001" customHeight="1">
      <c r="B75" s="111"/>
      <c r="C75" s="111"/>
      <c r="D75" s="111"/>
      <c r="E75" s="111"/>
      <c r="F75" s="111"/>
      <c r="H75" s="111"/>
    </row>
    <row r="76" spans="1:14" ht="20.100000000000001" customHeight="1">
      <c r="B76" s="111"/>
      <c r="C76" s="111"/>
      <c r="D76" s="111"/>
      <c r="E76" s="111"/>
      <c r="F76" s="111"/>
      <c r="H76" s="111"/>
    </row>
    <row r="77" spans="1:14" ht="20.100000000000001" customHeight="1">
      <c r="B77" s="111"/>
      <c r="C77" s="111"/>
      <c r="D77" s="111"/>
      <c r="E77" s="111"/>
      <c r="F77" s="111"/>
      <c r="H77" s="111"/>
    </row>
    <row r="78" spans="1:14" ht="20.100000000000001" customHeight="1">
      <c r="B78" s="111"/>
      <c r="C78" s="111"/>
      <c r="D78" s="111"/>
      <c r="E78" s="111"/>
      <c r="F78" s="111"/>
      <c r="H78" s="111"/>
    </row>
  </sheetData>
  <autoFilter ref="A6:J90"/>
  <mergeCells count="11">
    <mergeCell ref="A67:L67"/>
    <mergeCell ref="A2:B2"/>
    <mergeCell ref="A3:B3"/>
    <mergeCell ref="A4:B4"/>
    <mergeCell ref="A5:B5"/>
    <mergeCell ref="C5:M5"/>
    <mergeCell ref="A1:M1"/>
    <mergeCell ref="C2:E2"/>
    <mergeCell ref="C3:E3"/>
    <mergeCell ref="G3:H3"/>
    <mergeCell ref="C4:E4"/>
  </mergeCells>
  <pageMargins left="0.70866141732283472" right="0.70866141732283472" top="0.74803149606299213" bottom="0.74803149606299213" header="0.31496062992125984" footer="0.31496062992125984"/>
  <pageSetup paperSize="9" scale="9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workbookViewId="0">
      <selection activeCell="D12" sqref="D12"/>
    </sheetView>
  </sheetViews>
  <sheetFormatPr defaultColWidth="10.85546875" defaultRowHeight="14.25"/>
  <cols>
    <col min="1" max="1" width="6.42578125" style="267" bestFit="1" customWidth="1"/>
    <col min="2" max="2" width="20.7109375" style="257" bestFit="1" customWidth="1"/>
    <col min="3" max="3" width="7.42578125" style="267" bestFit="1" customWidth="1"/>
    <col min="4" max="4" width="14.42578125" style="267" customWidth="1"/>
    <col min="5" max="5" width="6.7109375" style="267" bestFit="1" customWidth="1"/>
    <col min="6" max="6" width="16.5703125" style="257" bestFit="1" customWidth="1"/>
    <col min="7" max="7" width="10.140625" style="257" bestFit="1" customWidth="1"/>
    <col min="8" max="8" width="5" style="257" bestFit="1" customWidth="1"/>
    <col min="9" max="9" width="18.28515625" style="257" bestFit="1" customWidth="1"/>
    <col min="10" max="10" width="14.85546875" style="257" bestFit="1" customWidth="1"/>
    <col min="11" max="11" width="13.5703125" style="257" bestFit="1" customWidth="1"/>
    <col min="12" max="12" width="11.28515625" style="257" bestFit="1" customWidth="1"/>
    <col min="13" max="13" width="9.85546875" style="257" bestFit="1" customWidth="1"/>
    <col min="14" max="14" width="11.5703125" style="257" bestFit="1" customWidth="1"/>
    <col min="15" max="256" width="10.85546875" style="257"/>
    <col min="257" max="257" width="6.42578125" style="257" bestFit="1" customWidth="1"/>
    <col min="258" max="258" width="20.7109375" style="257" bestFit="1" customWidth="1"/>
    <col min="259" max="259" width="7.42578125" style="257" bestFit="1" customWidth="1"/>
    <col min="260" max="260" width="14.42578125" style="257" customWidth="1"/>
    <col min="261" max="261" width="6.7109375" style="257" bestFit="1" customWidth="1"/>
    <col min="262" max="262" width="16.5703125" style="257" bestFit="1" customWidth="1"/>
    <col min="263" max="263" width="10.140625" style="257" bestFit="1" customWidth="1"/>
    <col min="264" max="264" width="5" style="257" bestFit="1" customWidth="1"/>
    <col min="265" max="265" width="18.28515625" style="257" bestFit="1" customWidth="1"/>
    <col min="266" max="266" width="14.85546875" style="257" bestFit="1" customWidth="1"/>
    <col min="267" max="267" width="13.5703125" style="257" bestFit="1" customWidth="1"/>
    <col min="268" max="268" width="11.28515625" style="257" bestFit="1" customWidth="1"/>
    <col min="269" max="269" width="9.85546875" style="257" bestFit="1" customWidth="1"/>
    <col min="270" max="270" width="11.5703125" style="257" bestFit="1" customWidth="1"/>
    <col min="271" max="512" width="10.85546875" style="257"/>
    <col min="513" max="513" width="6.42578125" style="257" bestFit="1" customWidth="1"/>
    <col min="514" max="514" width="20.7109375" style="257" bestFit="1" customWidth="1"/>
    <col min="515" max="515" width="7.42578125" style="257" bestFit="1" customWidth="1"/>
    <col min="516" max="516" width="14.42578125" style="257" customWidth="1"/>
    <col min="517" max="517" width="6.7109375" style="257" bestFit="1" customWidth="1"/>
    <col min="518" max="518" width="16.5703125" style="257" bestFit="1" customWidth="1"/>
    <col min="519" max="519" width="10.140625" style="257" bestFit="1" customWidth="1"/>
    <col min="520" max="520" width="5" style="257" bestFit="1" customWidth="1"/>
    <col min="521" max="521" width="18.28515625" style="257" bestFit="1" customWidth="1"/>
    <col min="522" max="522" width="14.85546875" style="257" bestFit="1" customWidth="1"/>
    <col min="523" max="523" width="13.5703125" style="257" bestFit="1" customWidth="1"/>
    <col min="524" max="524" width="11.28515625" style="257" bestFit="1" customWidth="1"/>
    <col min="525" max="525" width="9.85546875" style="257" bestFit="1" customWidth="1"/>
    <col min="526" max="526" width="11.5703125" style="257" bestFit="1" customWidth="1"/>
    <col min="527" max="768" width="10.85546875" style="257"/>
    <col min="769" max="769" width="6.42578125" style="257" bestFit="1" customWidth="1"/>
    <col min="770" max="770" width="20.7109375" style="257" bestFit="1" customWidth="1"/>
    <col min="771" max="771" width="7.42578125" style="257" bestFit="1" customWidth="1"/>
    <col min="772" max="772" width="14.42578125" style="257" customWidth="1"/>
    <col min="773" max="773" width="6.7109375" style="257" bestFit="1" customWidth="1"/>
    <col min="774" max="774" width="16.5703125" style="257" bestFit="1" customWidth="1"/>
    <col min="775" max="775" width="10.140625" style="257" bestFit="1" customWidth="1"/>
    <col min="776" max="776" width="5" style="257" bestFit="1" customWidth="1"/>
    <col min="777" max="777" width="18.28515625" style="257" bestFit="1" customWidth="1"/>
    <col min="778" max="778" width="14.85546875" style="257" bestFit="1" customWidth="1"/>
    <col min="779" max="779" width="13.5703125" style="257" bestFit="1" customWidth="1"/>
    <col min="780" max="780" width="11.28515625" style="257" bestFit="1" customWidth="1"/>
    <col min="781" max="781" width="9.85546875" style="257" bestFit="1" customWidth="1"/>
    <col min="782" max="782" width="11.5703125" style="257" bestFit="1" customWidth="1"/>
    <col min="783" max="1024" width="10.85546875" style="257"/>
    <col min="1025" max="1025" width="6.42578125" style="257" bestFit="1" customWidth="1"/>
    <col min="1026" max="1026" width="20.7109375" style="257" bestFit="1" customWidth="1"/>
    <col min="1027" max="1027" width="7.42578125" style="257" bestFit="1" customWidth="1"/>
    <col min="1028" max="1028" width="14.42578125" style="257" customWidth="1"/>
    <col min="1029" max="1029" width="6.7109375" style="257" bestFit="1" customWidth="1"/>
    <col min="1030" max="1030" width="16.5703125" style="257" bestFit="1" customWidth="1"/>
    <col min="1031" max="1031" width="10.140625" style="257" bestFit="1" customWidth="1"/>
    <col min="1032" max="1032" width="5" style="257" bestFit="1" customWidth="1"/>
    <col min="1033" max="1033" width="18.28515625" style="257" bestFit="1" customWidth="1"/>
    <col min="1034" max="1034" width="14.85546875" style="257" bestFit="1" customWidth="1"/>
    <col min="1035" max="1035" width="13.5703125" style="257" bestFit="1" customWidth="1"/>
    <col min="1036" max="1036" width="11.28515625" style="257" bestFit="1" customWidth="1"/>
    <col min="1037" max="1037" width="9.85546875" style="257" bestFit="1" customWidth="1"/>
    <col min="1038" max="1038" width="11.5703125" style="257" bestFit="1" customWidth="1"/>
    <col min="1039" max="1280" width="10.85546875" style="257"/>
    <col min="1281" max="1281" width="6.42578125" style="257" bestFit="1" customWidth="1"/>
    <col min="1282" max="1282" width="20.7109375" style="257" bestFit="1" customWidth="1"/>
    <col min="1283" max="1283" width="7.42578125" style="257" bestFit="1" customWidth="1"/>
    <col min="1284" max="1284" width="14.42578125" style="257" customWidth="1"/>
    <col min="1285" max="1285" width="6.7109375" style="257" bestFit="1" customWidth="1"/>
    <col min="1286" max="1286" width="16.5703125" style="257" bestFit="1" customWidth="1"/>
    <col min="1287" max="1287" width="10.140625" style="257" bestFit="1" customWidth="1"/>
    <col min="1288" max="1288" width="5" style="257" bestFit="1" customWidth="1"/>
    <col min="1289" max="1289" width="18.28515625" style="257" bestFit="1" customWidth="1"/>
    <col min="1290" max="1290" width="14.85546875" style="257" bestFit="1" customWidth="1"/>
    <col min="1291" max="1291" width="13.5703125" style="257" bestFit="1" customWidth="1"/>
    <col min="1292" max="1292" width="11.28515625" style="257" bestFit="1" customWidth="1"/>
    <col min="1293" max="1293" width="9.85546875" style="257" bestFit="1" customWidth="1"/>
    <col min="1294" max="1294" width="11.5703125" style="257" bestFit="1" customWidth="1"/>
    <col min="1295" max="1536" width="10.85546875" style="257"/>
    <col min="1537" max="1537" width="6.42578125" style="257" bestFit="1" customWidth="1"/>
    <col min="1538" max="1538" width="20.7109375" style="257" bestFit="1" customWidth="1"/>
    <col min="1539" max="1539" width="7.42578125" style="257" bestFit="1" customWidth="1"/>
    <col min="1540" max="1540" width="14.42578125" style="257" customWidth="1"/>
    <col min="1541" max="1541" width="6.7109375" style="257" bestFit="1" customWidth="1"/>
    <col min="1542" max="1542" width="16.5703125" style="257" bestFit="1" customWidth="1"/>
    <col min="1543" max="1543" width="10.140625" style="257" bestFit="1" customWidth="1"/>
    <col min="1544" max="1544" width="5" style="257" bestFit="1" customWidth="1"/>
    <col min="1545" max="1545" width="18.28515625" style="257" bestFit="1" customWidth="1"/>
    <col min="1546" max="1546" width="14.85546875" style="257" bestFit="1" customWidth="1"/>
    <col min="1547" max="1547" width="13.5703125" style="257" bestFit="1" customWidth="1"/>
    <col min="1548" max="1548" width="11.28515625" style="257" bestFit="1" customWidth="1"/>
    <col min="1549" max="1549" width="9.85546875" style="257" bestFit="1" customWidth="1"/>
    <col min="1550" max="1550" width="11.5703125" style="257" bestFit="1" customWidth="1"/>
    <col min="1551" max="1792" width="10.85546875" style="257"/>
    <col min="1793" max="1793" width="6.42578125" style="257" bestFit="1" customWidth="1"/>
    <col min="1794" max="1794" width="20.7109375" style="257" bestFit="1" customWidth="1"/>
    <col min="1795" max="1795" width="7.42578125" style="257" bestFit="1" customWidth="1"/>
    <col min="1796" max="1796" width="14.42578125" style="257" customWidth="1"/>
    <col min="1797" max="1797" width="6.7109375" style="257" bestFit="1" customWidth="1"/>
    <col min="1798" max="1798" width="16.5703125" style="257" bestFit="1" customWidth="1"/>
    <col min="1799" max="1799" width="10.140625" style="257" bestFit="1" customWidth="1"/>
    <col min="1800" max="1800" width="5" style="257" bestFit="1" customWidth="1"/>
    <col min="1801" max="1801" width="18.28515625" style="257" bestFit="1" customWidth="1"/>
    <col min="1802" max="1802" width="14.85546875" style="257" bestFit="1" customWidth="1"/>
    <col min="1803" max="1803" width="13.5703125" style="257" bestFit="1" customWidth="1"/>
    <col min="1804" max="1804" width="11.28515625" style="257" bestFit="1" customWidth="1"/>
    <col min="1805" max="1805" width="9.85546875" style="257" bestFit="1" customWidth="1"/>
    <col min="1806" max="1806" width="11.5703125" style="257" bestFit="1" customWidth="1"/>
    <col min="1807" max="2048" width="10.85546875" style="257"/>
    <col min="2049" max="2049" width="6.42578125" style="257" bestFit="1" customWidth="1"/>
    <col min="2050" max="2050" width="20.7109375" style="257" bestFit="1" customWidth="1"/>
    <col min="2051" max="2051" width="7.42578125" style="257" bestFit="1" customWidth="1"/>
    <col min="2052" max="2052" width="14.42578125" style="257" customWidth="1"/>
    <col min="2053" max="2053" width="6.7109375" style="257" bestFit="1" customWidth="1"/>
    <col min="2054" max="2054" width="16.5703125" style="257" bestFit="1" customWidth="1"/>
    <col min="2055" max="2055" width="10.140625" style="257" bestFit="1" customWidth="1"/>
    <col min="2056" max="2056" width="5" style="257" bestFit="1" customWidth="1"/>
    <col min="2057" max="2057" width="18.28515625" style="257" bestFit="1" customWidth="1"/>
    <col min="2058" max="2058" width="14.85546875" style="257" bestFit="1" customWidth="1"/>
    <col min="2059" max="2059" width="13.5703125" style="257" bestFit="1" customWidth="1"/>
    <col min="2060" max="2060" width="11.28515625" style="257" bestFit="1" customWidth="1"/>
    <col min="2061" max="2061" width="9.85546875" style="257" bestFit="1" customWidth="1"/>
    <col min="2062" max="2062" width="11.5703125" style="257" bestFit="1" customWidth="1"/>
    <col min="2063" max="2304" width="10.85546875" style="257"/>
    <col min="2305" max="2305" width="6.42578125" style="257" bestFit="1" customWidth="1"/>
    <col min="2306" max="2306" width="20.7109375" style="257" bestFit="1" customWidth="1"/>
    <col min="2307" max="2307" width="7.42578125" style="257" bestFit="1" customWidth="1"/>
    <col min="2308" max="2308" width="14.42578125" style="257" customWidth="1"/>
    <col min="2309" max="2309" width="6.7109375" style="257" bestFit="1" customWidth="1"/>
    <col min="2310" max="2310" width="16.5703125" style="257" bestFit="1" customWidth="1"/>
    <col min="2311" max="2311" width="10.140625" style="257" bestFit="1" customWidth="1"/>
    <col min="2312" max="2312" width="5" style="257" bestFit="1" customWidth="1"/>
    <col min="2313" max="2313" width="18.28515625" style="257" bestFit="1" customWidth="1"/>
    <col min="2314" max="2314" width="14.85546875" style="257" bestFit="1" customWidth="1"/>
    <col min="2315" max="2315" width="13.5703125" style="257" bestFit="1" customWidth="1"/>
    <col min="2316" max="2316" width="11.28515625" style="257" bestFit="1" customWidth="1"/>
    <col min="2317" max="2317" width="9.85546875" style="257" bestFit="1" customWidth="1"/>
    <col min="2318" max="2318" width="11.5703125" style="257" bestFit="1" customWidth="1"/>
    <col min="2319" max="2560" width="10.85546875" style="257"/>
    <col min="2561" max="2561" width="6.42578125" style="257" bestFit="1" customWidth="1"/>
    <col min="2562" max="2562" width="20.7109375" style="257" bestFit="1" customWidth="1"/>
    <col min="2563" max="2563" width="7.42578125" style="257" bestFit="1" customWidth="1"/>
    <col min="2564" max="2564" width="14.42578125" style="257" customWidth="1"/>
    <col min="2565" max="2565" width="6.7109375" style="257" bestFit="1" customWidth="1"/>
    <col min="2566" max="2566" width="16.5703125" style="257" bestFit="1" customWidth="1"/>
    <col min="2567" max="2567" width="10.140625" style="257" bestFit="1" customWidth="1"/>
    <col min="2568" max="2568" width="5" style="257" bestFit="1" customWidth="1"/>
    <col min="2569" max="2569" width="18.28515625" style="257" bestFit="1" customWidth="1"/>
    <col min="2570" max="2570" width="14.85546875" style="257" bestFit="1" customWidth="1"/>
    <col min="2571" max="2571" width="13.5703125" style="257" bestFit="1" customWidth="1"/>
    <col min="2572" max="2572" width="11.28515625" style="257" bestFit="1" customWidth="1"/>
    <col min="2573" max="2573" width="9.85546875" style="257" bestFit="1" customWidth="1"/>
    <col min="2574" max="2574" width="11.5703125" style="257" bestFit="1" customWidth="1"/>
    <col min="2575" max="2816" width="10.85546875" style="257"/>
    <col min="2817" max="2817" width="6.42578125" style="257" bestFit="1" customWidth="1"/>
    <col min="2818" max="2818" width="20.7109375" style="257" bestFit="1" customWidth="1"/>
    <col min="2819" max="2819" width="7.42578125" style="257" bestFit="1" customWidth="1"/>
    <col min="2820" max="2820" width="14.42578125" style="257" customWidth="1"/>
    <col min="2821" max="2821" width="6.7109375" style="257" bestFit="1" customWidth="1"/>
    <col min="2822" max="2822" width="16.5703125" style="257" bestFit="1" customWidth="1"/>
    <col min="2823" max="2823" width="10.140625" style="257" bestFit="1" customWidth="1"/>
    <col min="2824" max="2824" width="5" style="257" bestFit="1" customWidth="1"/>
    <col min="2825" max="2825" width="18.28515625" style="257" bestFit="1" customWidth="1"/>
    <col min="2826" max="2826" width="14.85546875" style="257" bestFit="1" customWidth="1"/>
    <col min="2827" max="2827" width="13.5703125" style="257" bestFit="1" customWidth="1"/>
    <col min="2828" max="2828" width="11.28515625" style="257" bestFit="1" customWidth="1"/>
    <col min="2829" max="2829" width="9.85546875" style="257" bestFit="1" customWidth="1"/>
    <col min="2830" max="2830" width="11.5703125" style="257" bestFit="1" customWidth="1"/>
    <col min="2831" max="3072" width="10.85546875" style="257"/>
    <col min="3073" max="3073" width="6.42578125" style="257" bestFit="1" customWidth="1"/>
    <col min="3074" max="3074" width="20.7109375" style="257" bestFit="1" customWidth="1"/>
    <col min="3075" max="3075" width="7.42578125" style="257" bestFit="1" customWidth="1"/>
    <col min="3076" max="3076" width="14.42578125" style="257" customWidth="1"/>
    <col min="3077" max="3077" width="6.7109375" style="257" bestFit="1" customWidth="1"/>
    <col min="3078" max="3078" width="16.5703125" style="257" bestFit="1" customWidth="1"/>
    <col min="3079" max="3079" width="10.140625" style="257" bestFit="1" customWidth="1"/>
    <col min="3080" max="3080" width="5" style="257" bestFit="1" customWidth="1"/>
    <col min="3081" max="3081" width="18.28515625" style="257" bestFit="1" customWidth="1"/>
    <col min="3082" max="3082" width="14.85546875" style="257" bestFit="1" customWidth="1"/>
    <col min="3083" max="3083" width="13.5703125" style="257" bestFit="1" customWidth="1"/>
    <col min="3084" max="3084" width="11.28515625" style="257" bestFit="1" customWidth="1"/>
    <col min="3085" max="3085" width="9.85546875" style="257" bestFit="1" customWidth="1"/>
    <col min="3086" max="3086" width="11.5703125" style="257" bestFit="1" customWidth="1"/>
    <col min="3087" max="3328" width="10.85546875" style="257"/>
    <col min="3329" max="3329" width="6.42578125" style="257" bestFit="1" customWidth="1"/>
    <col min="3330" max="3330" width="20.7109375" style="257" bestFit="1" customWidth="1"/>
    <col min="3331" max="3331" width="7.42578125" style="257" bestFit="1" customWidth="1"/>
    <col min="3332" max="3332" width="14.42578125" style="257" customWidth="1"/>
    <col min="3333" max="3333" width="6.7109375" style="257" bestFit="1" customWidth="1"/>
    <col min="3334" max="3334" width="16.5703125" style="257" bestFit="1" customWidth="1"/>
    <col min="3335" max="3335" width="10.140625" style="257" bestFit="1" customWidth="1"/>
    <col min="3336" max="3336" width="5" style="257" bestFit="1" customWidth="1"/>
    <col min="3337" max="3337" width="18.28515625" style="257" bestFit="1" customWidth="1"/>
    <col min="3338" max="3338" width="14.85546875" style="257" bestFit="1" customWidth="1"/>
    <col min="3339" max="3339" width="13.5703125" style="257" bestFit="1" customWidth="1"/>
    <col min="3340" max="3340" width="11.28515625" style="257" bestFit="1" customWidth="1"/>
    <col min="3341" max="3341" width="9.85546875" style="257" bestFit="1" customWidth="1"/>
    <col min="3342" max="3342" width="11.5703125" style="257" bestFit="1" customWidth="1"/>
    <col min="3343" max="3584" width="10.85546875" style="257"/>
    <col min="3585" max="3585" width="6.42578125" style="257" bestFit="1" customWidth="1"/>
    <col min="3586" max="3586" width="20.7109375" style="257" bestFit="1" customWidth="1"/>
    <col min="3587" max="3587" width="7.42578125" style="257" bestFit="1" customWidth="1"/>
    <col min="3588" max="3588" width="14.42578125" style="257" customWidth="1"/>
    <col min="3589" max="3589" width="6.7109375" style="257" bestFit="1" customWidth="1"/>
    <col min="3590" max="3590" width="16.5703125" style="257" bestFit="1" customWidth="1"/>
    <col min="3591" max="3591" width="10.140625" style="257" bestFit="1" customWidth="1"/>
    <col min="3592" max="3592" width="5" style="257" bestFit="1" customWidth="1"/>
    <col min="3593" max="3593" width="18.28515625" style="257" bestFit="1" customWidth="1"/>
    <col min="3594" max="3594" width="14.85546875" style="257" bestFit="1" customWidth="1"/>
    <col min="3595" max="3595" width="13.5703125" style="257" bestFit="1" customWidth="1"/>
    <col min="3596" max="3596" width="11.28515625" style="257" bestFit="1" customWidth="1"/>
    <col min="3597" max="3597" width="9.85546875" style="257" bestFit="1" customWidth="1"/>
    <col min="3598" max="3598" width="11.5703125" style="257" bestFit="1" customWidth="1"/>
    <col min="3599" max="3840" width="10.85546875" style="257"/>
    <col min="3841" max="3841" width="6.42578125" style="257" bestFit="1" customWidth="1"/>
    <col min="3842" max="3842" width="20.7109375" style="257" bestFit="1" customWidth="1"/>
    <col min="3843" max="3843" width="7.42578125" style="257" bestFit="1" customWidth="1"/>
    <col min="3844" max="3844" width="14.42578125" style="257" customWidth="1"/>
    <col min="3845" max="3845" width="6.7109375" style="257" bestFit="1" customWidth="1"/>
    <col min="3846" max="3846" width="16.5703125" style="257" bestFit="1" customWidth="1"/>
    <col min="3847" max="3847" width="10.140625" style="257" bestFit="1" customWidth="1"/>
    <col min="3848" max="3848" width="5" style="257" bestFit="1" customWidth="1"/>
    <col min="3849" max="3849" width="18.28515625" style="257" bestFit="1" customWidth="1"/>
    <col min="3850" max="3850" width="14.85546875" style="257" bestFit="1" customWidth="1"/>
    <col min="3851" max="3851" width="13.5703125" style="257" bestFit="1" customWidth="1"/>
    <col min="3852" max="3852" width="11.28515625" style="257" bestFit="1" customWidth="1"/>
    <col min="3853" max="3853" width="9.85546875" style="257" bestFit="1" customWidth="1"/>
    <col min="3854" max="3854" width="11.5703125" style="257" bestFit="1" customWidth="1"/>
    <col min="3855" max="4096" width="10.85546875" style="257"/>
    <col min="4097" max="4097" width="6.42578125" style="257" bestFit="1" customWidth="1"/>
    <col min="4098" max="4098" width="20.7109375" style="257" bestFit="1" customWidth="1"/>
    <col min="4099" max="4099" width="7.42578125" style="257" bestFit="1" customWidth="1"/>
    <col min="4100" max="4100" width="14.42578125" style="257" customWidth="1"/>
    <col min="4101" max="4101" width="6.7109375" style="257" bestFit="1" customWidth="1"/>
    <col min="4102" max="4102" width="16.5703125" style="257" bestFit="1" customWidth="1"/>
    <col min="4103" max="4103" width="10.140625" style="257" bestFit="1" customWidth="1"/>
    <col min="4104" max="4104" width="5" style="257" bestFit="1" customWidth="1"/>
    <col min="4105" max="4105" width="18.28515625" style="257" bestFit="1" customWidth="1"/>
    <col min="4106" max="4106" width="14.85546875" style="257" bestFit="1" customWidth="1"/>
    <col min="4107" max="4107" width="13.5703125" style="257" bestFit="1" customWidth="1"/>
    <col min="4108" max="4108" width="11.28515625" style="257" bestFit="1" customWidth="1"/>
    <col min="4109" max="4109" width="9.85546875" style="257" bestFit="1" customWidth="1"/>
    <col min="4110" max="4110" width="11.5703125" style="257" bestFit="1" customWidth="1"/>
    <col min="4111" max="4352" width="10.85546875" style="257"/>
    <col min="4353" max="4353" width="6.42578125" style="257" bestFit="1" customWidth="1"/>
    <col min="4354" max="4354" width="20.7109375" style="257" bestFit="1" customWidth="1"/>
    <col min="4355" max="4355" width="7.42578125" style="257" bestFit="1" customWidth="1"/>
    <col min="4356" max="4356" width="14.42578125" style="257" customWidth="1"/>
    <col min="4357" max="4357" width="6.7109375" style="257" bestFit="1" customWidth="1"/>
    <col min="4358" max="4358" width="16.5703125" style="257" bestFit="1" customWidth="1"/>
    <col min="4359" max="4359" width="10.140625" style="257" bestFit="1" customWidth="1"/>
    <col min="4360" max="4360" width="5" style="257" bestFit="1" customWidth="1"/>
    <col min="4361" max="4361" width="18.28515625" style="257" bestFit="1" customWidth="1"/>
    <col min="4362" max="4362" width="14.85546875" style="257" bestFit="1" customWidth="1"/>
    <col min="4363" max="4363" width="13.5703125" style="257" bestFit="1" customWidth="1"/>
    <col min="4364" max="4364" width="11.28515625" style="257" bestFit="1" customWidth="1"/>
    <col min="4365" max="4365" width="9.85546875" style="257" bestFit="1" customWidth="1"/>
    <col min="4366" max="4366" width="11.5703125" style="257" bestFit="1" customWidth="1"/>
    <col min="4367" max="4608" width="10.85546875" style="257"/>
    <col min="4609" max="4609" width="6.42578125" style="257" bestFit="1" customWidth="1"/>
    <col min="4610" max="4610" width="20.7109375" style="257" bestFit="1" customWidth="1"/>
    <col min="4611" max="4611" width="7.42578125" style="257" bestFit="1" customWidth="1"/>
    <col min="4612" max="4612" width="14.42578125" style="257" customWidth="1"/>
    <col min="4613" max="4613" width="6.7109375" style="257" bestFit="1" customWidth="1"/>
    <col min="4614" max="4614" width="16.5703125" style="257" bestFit="1" customWidth="1"/>
    <col min="4615" max="4615" width="10.140625" style="257" bestFit="1" customWidth="1"/>
    <col min="4616" max="4616" width="5" style="257" bestFit="1" customWidth="1"/>
    <col min="4617" max="4617" width="18.28515625" style="257" bestFit="1" customWidth="1"/>
    <col min="4618" max="4618" width="14.85546875" style="257" bestFit="1" customWidth="1"/>
    <col min="4619" max="4619" width="13.5703125" style="257" bestFit="1" customWidth="1"/>
    <col min="4620" max="4620" width="11.28515625" style="257" bestFit="1" customWidth="1"/>
    <col min="4621" max="4621" width="9.85546875" style="257" bestFit="1" customWidth="1"/>
    <col min="4622" max="4622" width="11.5703125" style="257" bestFit="1" customWidth="1"/>
    <col min="4623" max="4864" width="10.85546875" style="257"/>
    <col min="4865" max="4865" width="6.42578125" style="257" bestFit="1" customWidth="1"/>
    <col min="4866" max="4866" width="20.7109375" style="257" bestFit="1" customWidth="1"/>
    <col min="4867" max="4867" width="7.42578125" style="257" bestFit="1" customWidth="1"/>
    <col min="4868" max="4868" width="14.42578125" style="257" customWidth="1"/>
    <col min="4869" max="4869" width="6.7109375" style="257" bestFit="1" customWidth="1"/>
    <col min="4870" max="4870" width="16.5703125" style="257" bestFit="1" customWidth="1"/>
    <col min="4871" max="4871" width="10.140625" style="257" bestFit="1" customWidth="1"/>
    <col min="4872" max="4872" width="5" style="257" bestFit="1" customWidth="1"/>
    <col min="4873" max="4873" width="18.28515625" style="257" bestFit="1" customWidth="1"/>
    <col min="4874" max="4874" width="14.85546875" style="257" bestFit="1" customWidth="1"/>
    <col min="4875" max="4875" width="13.5703125" style="257" bestFit="1" customWidth="1"/>
    <col min="4876" max="4876" width="11.28515625" style="257" bestFit="1" customWidth="1"/>
    <col min="4877" max="4877" width="9.85546875" style="257" bestFit="1" customWidth="1"/>
    <col min="4878" max="4878" width="11.5703125" style="257" bestFit="1" customWidth="1"/>
    <col min="4879" max="5120" width="10.85546875" style="257"/>
    <col min="5121" max="5121" width="6.42578125" style="257" bestFit="1" customWidth="1"/>
    <col min="5122" max="5122" width="20.7109375" style="257" bestFit="1" customWidth="1"/>
    <col min="5123" max="5123" width="7.42578125" style="257" bestFit="1" customWidth="1"/>
    <col min="5124" max="5124" width="14.42578125" style="257" customWidth="1"/>
    <col min="5125" max="5125" width="6.7109375" style="257" bestFit="1" customWidth="1"/>
    <col min="5126" max="5126" width="16.5703125" style="257" bestFit="1" customWidth="1"/>
    <col min="5127" max="5127" width="10.140625" style="257" bestFit="1" customWidth="1"/>
    <col min="5128" max="5128" width="5" style="257" bestFit="1" customWidth="1"/>
    <col min="5129" max="5129" width="18.28515625" style="257" bestFit="1" customWidth="1"/>
    <col min="5130" max="5130" width="14.85546875" style="257" bestFit="1" customWidth="1"/>
    <col min="5131" max="5131" width="13.5703125" style="257" bestFit="1" customWidth="1"/>
    <col min="5132" max="5132" width="11.28515625" style="257" bestFit="1" customWidth="1"/>
    <col min="5133" max="5133" width="9.85546875" style="257" bestFit="1" customWidth="1"/>
    <col min="5134" max="5134" width="11.5703125" style="257" bestFit="1" customWidth="1"/>
    <col min="5135" max="5376" width="10.85546875" style="257"/>
    <col min="5377" max="5377" width="6.42578125" style="257" bestFit="1" customWidth="1"/>
    <col min="5378" max="5378" width="20.7109375" style="257" bestFit="1" customWidth="1"/>
    <col min="5379" max="5379" width="7.42578125" style="257" bestFit="1" customWidth="1"/>
    <col min="5380" max="5380" width="14.42578125" style="257" customWidth="1"/>
    <col min="5381" max="5381" width="6.7109375" style="257" bestFit="1" customWidth="1"/>
    <col min="5382" max="5382" width="16.5703125" style="257" bestFit="1" customWidth="1"/>
    <col min="5383" max="5383" width="10.140625" style="257" bestFit="1" customWidth="1"/>
    <col min="5384" max="5384" width="5" style="257" bestFit="1" customWidth="1"/>
    <col min="5385" max="5385" width="18.28515625" style="257" bestFit="1" customWidth="1"/>
    <col min="5386" max="5386" width="14.85546875" style="257" bestFit="1" customWidth="1"/>
    <col min="5387" max="5387" width="13.5703125" style="257" bestFit="1" customWidth="1"/>
    <col min="5388" max="5388" width="11.28515625" style="257" bestFit="1" customWidth="1"/>
    <col min="5389" max="5389" width="9.85546875" style="257" bestFit="1" customWidth="1"/>
    <col min="5390" max="5390" width="11.5703125" style="257" bestFit="1" customWidth="1"/>
    <col min="5391" max="5632" width="10.85546875" style="257"/>
    <col min="5633" max="5633" width="6.42578125" style="257" bestFit="1" customWidth="1"/>
    <col min="5634" max="5634" width="20.7109375" style="257" bestFit="1" customWidth="1"/>
    <col min="5635" max="5635" width="7.42578125" style="257" bestFit="1" customWidth="1"/>
    <col min="5636" max="5636" width="14.42578125" style="257" customWidth="1"/>
    <col min="5637" max="5637" width="6.7109375" style="257" bestFit="1" customWidth="1"/>
    <col min="5638" max="5638" width="16.5703125" style="257" bestFit="1" customWidth="1"/>
    <col min="5639" max="5639" width="10.140625" style="257" bestFit="1" customWidth="1"/>
    <col min="5640" max="5640" width="5" style="257" bestFit="1" customWidth="1"/>
    <col min="5641" max="5641" width="18.28515625" style="257" bestFit="1" customWidth="1"/>
    <col min="5642" max="5642" width="14.85546875" style="257" bestFit="1" customWidth="1"/>
    <col min="5643" max="5643" width="13.5703125" style="257" bestFit="1" customWidth="1"/>
    <col min="5644" max="5644" width="11.28515625" style="257" bestFit="1" customWidth="1"/>
    <col min="5645" max="5645" width="9.85546875" style="257" bestFit="1" customWidth="1"/>
    <col min="5646" max="5646" width="11.5703125" style="257" bestFit="1" customWidth="1"/>
    <col min="5647" max="5888" width="10.85546875" style="257"/>
    <col min="5889" max="5889" width="6.42578125" style="257" bestFit="1" customWidth="1"/>
    <col min="5890" max="5890" width="20.7109375" style="257" bestFit="1" customWidth="1"/>
    <col min="5891" max="5891" width="7.42578125" style="257" bestFit="1" customWidth="1"/>
    <col min="5892" max="5892" width="14.42578125" style="257" customWidth="1"/>
    <col min="5893" max="5893" width="6.7109375" style="257" bestFit="1" customWidth="1"/>
    <col min="5894" max="5894" width="16.5703125" style="257" bestFit="1" customWidth="1"/>
    <col min="5895" max="5895" width="10.140625" style="257" bestFit="1" customWidth="1"/>
    <col min="5896" max="5896" width="5" style="257" bestFit="1" customWidth="1"/>
    <col min="5897" max="5897" width="18.28515625" style="257" bestFit="1" customWidth="1"/>
    <col min="5898" max="5898" width="14.85546875" style="257" bestFit="1" customWidth="1"/>
    <col min="5899" max="5899" width="13.5703125" style="257" bestFit="1" customWidth="1"/>
    <col min="5900" max="5900" width="11.28515625" style="257" bestFit="1" customWidth="1"/>
    <col min="5901" max="5901" width="9.85546875" style="257" bestFit="1" customWidth="1"/>
    <col min="5902" max="5902" width="11.5703125" style="257" bestFit="1" customWidth="1"/>
    <col min="5903" max="6144" width="10.85546875" style="257"/>
    <col min="6145" max="6145" width="6.42578125" style="257" bestFit="1" customWidth="1"/>
    <col min="6146" max="6146" width="20.7109375" style="257" bestFit="1" customWidth="1"/>
    <col min="6147" max="6147" width="7.42578125" style="257" bestFit="1" customWidth="1"/>
    <col min="6148" max="6148" width="14.42578125" style="257" customWidth="1"/>
    <col min="6149" max="6149" width="6.7109375" style="257" bestFit="1" customWidth="1"/>
    <col min="6150" max="6150" width="16.5703125" style="257" bestFit="1" customWidth="1"/>
    <col min="6151" max="6151" width="10.140625" style="257" bestFit="1" customWidth="1"/>
    <col min="6152" max="6152" width="5" style="257" bestFit="1" customWidth="1"/>
    <col min="6153" max="6153" width="18.28515625" style="257" bestFit="1" customWidth="1"/>
    <col min="6154" max="6154" width="14.85546875" style="257" bestFit="1" customWidth="1"/>
    <col min="6155" max="6155" width="13.5703125" style="257" bestFit="1" customWidth="1"/>
    <col min="6156" max="6156" width="11.28515625" style="257" bestFit="1" customWidth="1"/>
    <col min="6157" max="6157" width="9.85546875" style="257" bestFit="1" customWidth="1"/>
    <col min="6158" max="6158" width="11.5703125" style="257" bestFit="1" customWidth="1"/>
    <col min="6159" max="6400" width="10.85546875" style="257"/>
    <col min="6401" max="6401" width="6.42578125" style="257" bestFit="1" customWidth="1"/>
    <col min="6402" max="6402" width="20.7109375" style="257" bestFit="1" customWidth="1"/>
    <col min="6403" max="6403" width="7.42578125" style="257" bestFit="1" customWidth="1"/>
    <col min="6404" max="6404" width="14.42578125" style="257" customWidth="1"/>
    <col min="6405" max="6405" width="6.7109375" style="257" bestFit="1" customWidth="1"/>
    <col min="6406" max="6406" width="16.5703125" style="257" bestFit="1" customWidth="1"/>
    <col min="6407" max="6407" width="10.140625" style="257" bestFit="1" customWidth="1"/>
    <col min="6408" max="6408" width="5" style="257" bestFit="1" customWidth="1"/>
    <col min="6409" max="6409" width="18.28515625" style="257" bestFit="1" customWidth="1"/>
    <col min="6410" max="6410" width="14.85546875" style="257" bestFit="1" customWidth="1"/>
    <col min="6411" max="6411" width="13.5703125" style="257" bestFit="1" customWidth="1"/>
    <col min="6412" max="6412" width="11.28515625" style="257" bestFit="1" customWidth="1"/>
    <col min="6413" max="6413" width="9.85546875" style="257" bestFit="1" customWidth="1"/>
    <col min="6414" max="6414" width="11.5703125" style="257" bestFit="1" customWidth="1"/>
    <col min="6415" max="6656" width="10.85546875" style="257"/>
    <col min="6657" max="6657" width="6.42578125" style="257" bestFit="1" customWidth="1"/>
    <col min="6658" max="6658" width="20.7109375" style="257" bestFit="1" customWidth="1"/>
    <col min="6659" max="6659" width="7.42578125" style="257" bestFit="1" customWidth="1"/>
    <col min="6660" max="6660" width="14.42578125" style="257" customWidth="1"/>
    <col min="6661" max="6661" width="6.7109375" style="257" bestFit="1" customWidth="1"/>
    <col min="6662" max="6662" width="16.5703125" style="257" bestFit="1" customWidth="1"/>
    <col min="6663" max="6663" width="10.140625" style="257" bestFit="1" customWidth="1"/>
    <col min="6664" max="6664" width="5" style="257" bestFit="1" customWidth="1"/>
    <col min="6665" max="6665" width="18.28515625" style="257" bestFit="1" customWidth="1"/>
    <col min="6666" max="6666" width="14.85546875" style="257" bestFit="1" customWidth="1"/>
    <col min="6667" max="6667" width="13.5703125" style="257" bestFit="1" customWidth="1"/>
    <col min="6668" max="6668" width="11.28515625" style="257" bestFit="1" customWidth="1"/>
    <col min="6669" max="6669" width="9.85546875" style="257" bestFit="1" customWidth="1"/>
    <col min="6670" max="6670" width="11.5703125" style="257" bestFit="1" customWidth="1"/>
    <col min="6671" max="6912" width="10.85546875" style="257"/>
    <col min="6913" max="6913" width="6.42578125" style="257" bestFit="1" customWidth="1"/>
    <col min="6914" max="6914" width="20.7109375" style="257" bestFit="1" customWidth="1"/>
    <col min="6915" max="6915" width="7.42578125" style="257" bestFit="1" customWidth="1"/>
    <col min="6916" max="6916" width="14.42578125" style="257" customWidth="1"/>
    <col min="6917" max="6917" width="6.7109375" style="257" bestFit="1" customWidth="1"/>
    <col min="6918" max="6918" width="16.5703125" style="257" bestFit="1" customWidth="1"/>
    <col min="6919" max="6919" width="10.140625" style="257" bestFit="1" customWidth="1"/>
    <col min="6920" max="6920" width="5" style="257" bestFit="1" customWidth="1"/>
    <col min="6921" max="6921" width="18.28515625" style="257" bestFit="1" customWidth="1"/>
    <col min="6922" max="6922" width="14.85546875" style="257" bestFit="1" customWidth="1"/>
    <col min="6923" max="6923" width="13.5703125" style="257" bestFit="1" customWidth="1"/>
    <col min="6924" max="6924" width="11.28515625" style="257" bestFit="1" customWidth="1"/>
    <col min="6925" max="6925" width="9.85546875" style="257" bestFit="1" customWidth="1"/>
    <col min="6926" max="6926" width="11.5703125" style="257" bestFit="1" customWidth="1"/>
    <col min="6927" max="7168" width="10.85546875" style="257"/>
    <col min="7169" max="7169" width="6.42578125" style="257" bestFit="1" customWidth="1"/>
    <col min="7170" max="7170" width="20.7109375" style="257" bestFit="1" customWidth="1"/>
    <col min="7171" max="7171" width="7.42578125" style="257" bestFit="1" customWidth="1"/>
    <col min="7172" max="7172" width="14.42578125" style="257" customWidth="1"/>
    <col min="7173" max="7173" width="6.7109375" style="257" bestFit="1" customWidth="1"/>
    <col min="7174" max="7174" width="16.5703125" style="257" bestFit="1" customWidth="1"/>
    <col min="7175" max="7175" width="10.140625" style="257" bestFit="1" customWidth="1"/>
    <col min="7176" max="7176" width="5" style="257" bestFit="1" customWidth="1"/>
    <col min="7177" max="7177" width="18.28515625" style="257" bestFit="1" customWidth="1"/>
    <col min="7178" max="7178" width="14.85546875" style="257" bestFit="1" customWidth="1"/>
    <col min="7179" max="7179" width="13.5703125" style="257" bestFit="1" customWidth="1"/>
    <col min="7180" max="7180" width="11.28515625" style="257" bestFit="1" customWidth="1"/>
    <col min="7181" max="7181" width="9.85546875" style="257" bestFit="1" customWidth="1"/>
    <col min="7182" max="7182" width="11.5703125" style="257" bestFit="1" customWidth="1"/>
    <col min="7183" max="7424" width="10.85546875" style="257"/>
    <col min="7425" max="7425" width="6.42578125" style="257" bestFit="1" customWidth="1"/>
    <col min="7426" max="7426" width="20.7109375" style="257" bestFit="1" customWidth="1"/>
    <col min="7427" max="7427" width="7.42578125" style="257" bestFit="1" customWidth="1"/>
    <col min="7428" max="7428" width="14.42578125" style="257" customWidth="1"/>
    <col min="7429" max="7429" width="6.7109375" style="257" bestFit="1" customWidth="1"/>
    <col min="7430" max="7430" width="16.5703125" style="257" bestFit="1" customWidth="1"/>
    <col min="7431" max="7431" width="10.140625" style="257" bestFit="1" customWidth="1"/>
    <col min="7432" max="7432" width="5" style="257" bestFit="1" customWidth="1"/>
    <col min="7433" max="7433" width="18.28515625" style="257" bestFit="1" customWidth="1"/>
    <col min="7434" max="7434" width="14.85546875" style="257" bestFit="1" customWidth="1"/>
    <col min="7435" max="7435" width="13.5703125" style="257" bestFit="1" customWidth="1"/>
    <col min="7436" max="7436" width="11.28515625" style="257" bestFit="1" customWidth="1"/>
    <col min="7437" max="7437" width="9.85546875" style="257" bestFit="1" customWidth="1"/>
    <col min="7438" max="7438" width="11.5703125" style="257" bestFit="1" customWidth="1"/>
    <col min="7439" max="7680" width="10.85546875" style="257"/>
    <col min="7681" max="7681" width="6.42578125" style="257" bestFit="1" customWidth="1"/>
    <col min="7682" max="7682" width="20.7109375" style="257" bestFit="1" customWidth="1"/>
    <col min="7683" max="7683" width="7.42578125" style="257" bestFit="1" customWidth="1"/>
    <col min="7684" max="7684" width="14.42578125" style="257" customWidth="1"/>
    <col min="7685" max="7685" width="6.7109375" style="257" bestFit="1" customWidth="1"/>
    <col min="7686" max="7686" width="16.5703125" style="257" bestFit="1" customWidth="1"/>
    <col min="7687" max="7687" width="10.140625" style="257" bestFit="1" customWidth="1"/>
    <col min="7688" max="7688" width="5" style="257" bestFit="1" customWidth="1"/>
    <col min="7689" max="7689" width="18.28515625" style="257" bestFit="1" customWidth="1"/>
    <col min="7690" max="7690" width="14.85546875" style="257" bestFit="1" customWidth="1"/>
    <col min="7691" max="7691" width="13.5703125" style="257" bestFit="1" customWidth="1"/>
    <col min="7692" max="7692" width="11.28515625" style="257" bestFit="1" customWidth="1"/>
    <col min="7693" max="7693" width="9.85546875" style="257" bestFit="1" customWidth="1"/>
    <col min="7694" max="7694" width="11.5703125" style="257" bestFit="1" customWidth="1"/>
    <col min="7695" max="7936" width="10.85546875" style="257"/>
    <col min="7937" max="7937" width="6.42578125" style="257" bestFit="1" customWidth="1"/>
    <col min="7938" max="7938" width="20.7109375" style="257" bestFit="1" customWidth="1"/>
    <col min="7939" max="7939" width="7.42578125" style="257" bestFit="1" customWidth="1"/>
    <col min="7940" max="7940" width="14.42578125" style="257" customWidth="1"/>
    <col min="7941" max="7941" width="6.7109375" style="257" bestFit="1" customWidth="1"/>
    <col min="7942" max="7942" width="16.5703125" style="257" bestFit="1" customWidth="1"/>
    <col min="7943" max="7943" width="10.140625" style="257" bestFit="1" customWidth="1"/>
    <col min="7944" max="7944" width="5" style="257" bestFit="1" customWidth="1"/>
    <col min="7945" max="7945" width="18.28515625" style="257" bestFit="1" customWidth="1"/>
    <col min="7946" max="7946" width="14.85546875" style="257" bestFit="1" customWidth="1"/>
    <col min="7947" max="7947" width="13.5703125" style="257" bestFit="1" customWidth="1"/>
    <col min="7948" max="7948" width="11.28515625" style="257" bestFit="1" customWidth="1"/>
    <col min="7949" max="7949" width="9.85546875" style="257" bestFit="1" customWidth="1"/>
    <col min="7950" max="7950" width="11.5703125" style="257" bestFit="1" customWidth="1"/>
    <col min="7951" max="8192" width="10.85546875" style="257"/>
    <col min="8193" max="8193" width="6.42578125" style="257" bestFit="1" customWidth="1"/>
    <col min="8194" max="8194" width="20.7109375" style="257" bestFit="1" customWidth="1"/>
    <col min="8195" max="8195" width="7.42578125" style="257" bestFit="1" customWidth="1"/>
    <col min="8196" max="8196" width="14.42578125" style="257" customWidth="1"/>
    <col min="8197" max="8197" width="6.7109375" style="257" bestFit="1" customWidth="1"/>
    <col min="8198" max="8198" width="16.5703125" style="257" bestFit="1" customWidth="1"/>
    <col min="8199" max="8199" width="10.140625" style="257" bestFit="1" customWidth="1"/>
    <col min="8200" max="8200" width="5" style="257" bestFit="1" customWidth="1"/>
    <col min="8201" max="8201" width="18.28515625" style="257" bestFit="1" customWidth="1"/>
    <col min="8202" max="8202" width="14.85546875" style="257" bestFit="1" customWidth="1"/>
    <col min="8203" max="8203" width="13.5703125" style="257" bestFit="1" customWidth="1"/>
    <col min="8204" max="8204" width="11.28515625" style="257" bestFit="1" customWidth="1"/>
    <col min="8205" max="8205" width="9.85546875" style="257" bestFit="1" customWidth="1"/>
    <col min="8206" max="8206" width="11.5703125" style="257" bestFit="1" customWidth="1"/>
    <col min="8207" max="8448" width="10.85546875" style="257"/>
    <col min="8449" max="8449" width="6.42578125" style="257" bestFit="1" customWidth="1"/>
    <col min="8450" max="8450" width="20.7109375" style="257" bestFit="1" customWidth="1"/>
    <col min="8451" max="8451" width="7.42578125" style="257" bestFit="1" customWidth="1"/>
    <col min="8452" max="8452" width="14.42578125" style="257" customWidth="1"/>
    <col min="8453" max="8453" width="6.7109375" style="257" bestFit="1" customWidth="1"/>
    <col min="8454" max="8454" width="16.5703125" style="257" bestFit="1" customWidth="1"/>
    <col min="8455" max="8455" width="10.140625" style="257" bestFit="1" customWidth="1"/>
    <col min="8456" max="8456" width="5" style="257" bestFit="1" customWidth="1"/>
    <col min="8457" max="8457" width="18.28515625" style="257" bestFit="1" customWidth="1"/>
    <col min="8458" max="8458" width="14.85546875" style="257" bestFit="1" customWidth="1"/>
    <col min="8459" max="8459" width="13.5703125" style="257" bestFit="1" customWidth="1"/>
    <col min="8460" max="8460" width="11.28515625" style="257" bestFit="1" customWidth="1"/>
    <col min="8461" max="8461" width="9.85546875" style="257" bestFit="1" customWidth="1"/>
    <col min="8462" max="8462" width="11.5703125" style="257" bestFit="1" customWidth="1"/>
    <col min="8463" max="8704" width="10.85546875" style="257"/>
    <col min="8705" max="8705" width="6.42578125" style="257" bestFit="1" customWidth="1"/>
    <col min="8706" max="8706" width="20.7109375" style="257" bestFit="1" customWidth="1"/>
    <col min="8707" max="8707" width="7.42578125" style="257" bestFit="1" customWidth="1"/>
    <col min="8708" max="8708" width="14.42578125" style="257" customWidth="1"/>
    <col min="8709" max="8709" width="6.7109375" style="257" bestFit="1" customWidth="1"/>
    <col min="8710" max="8710" width="16.5703125" style="257" bestFit="1" customWidth="1"/>
    <col min="8711" max="8711" width="10.140625" style="257" bestFit="1" customWidth="1"/>
    <col min="8712" max="8712" width="5" style="257" bestFit="1" customWidth="1"/>
    <col min="8713" max="8713" width="18.28515625" style="257" bestFit="1" customWidth="1"/>
    <col min="8714" max="8714" width="14.85546875" style="257" bestFit="1" customWidth="1"/>
    <col min="8715" max="8715" width="13.5703125" style="257" bestFit="1" customWidth="1"/>
    <col min="8716" max="8716" width="11.28515625" style="257" bestFit="1" customWidth="1"/>
    <col min="8717" max="8717" width="9.85546875" style="257" bestFit="1" customWidth="1"/>
    <col min="8718" max="8718" width="11.5703125" style="257" bestFit="1" customWidth="1"/>
    <col min="8719" max="8960" width="10.85546875" style="257"/>
    <col min="8961" max="8961" width="6.42578125" style="257" bestFit="1" customWidth="1"/>
    <col min="8962" max="8962" width="20.7109375" style="257" bestFit="1" customWidth="1"/>
    <col min="8963" max="8963" width="7.42578125" style="257" bestFit="1" customWidth="1"/>
    <col min="8964" max="8964" width="14.42578125" style="257" customWidth="1"/>
    <col min="8965" max="8965" width="6.7109375" style="257" bestFit="1" customWidth="1"/>
    <col min="8966" max="8966" width="16.5703125" style="257" bestFit="1" customWidth="1"/>
    <col min="8967" max="8967" width="10.140625" style="257" bestFit="1" customWidth="1"/>
    <col min="8968" max="8968" width="5" style="257" bestFit="1" customWidth="1"/>
    <col min="8969" max="8969" width="18.28515625" style="257" bestFit="1" customWidth="1"/>
    <col min="8970" max="8970" width="14.85546875" style="257" bestFit="1" customWidth="1"/>
    <col min="8971" max="8971" width="13.5703125" style="257" bestFit="1" customWidth="1"/>
    <col min="8972" max="8972" width="11.28515625" style="257" bestFit="1" customWidth="1"/>
    <col min="8973" max="8973" width="9.85546875" style="257" bestFit="1" customWidth="1"/>
    <col min="8974" max="8974" width="11.5703125" style="257" bestFit="1" customWidth="1"/>
    <col min="8975" max="9216" width="10.85546875" style="257"/>
    <col min="9217" max="9217" width="6.42578125" style="257" bestFit="1" customWidth="1"/>
    <col min="9218" max="9218" width="20.7109375" style="257" bestFit="1" customWidth="1"/>
    <col min="9219" max="9219" width="7.42578125" style="257" bestFit="1" customWidth="1"/>
    <col min="9220" max="9220" width="14.42578125" style="257" customWidth="1"/>
    <col min="9221" max="9221" width="6.7109375" style="257" bestFit="1" customWidth="1"/>
    <col min="9222" max="9222" width="16.5703125" style="257" bestFit="1" customWidth="1"/>
    <col min="9223" max="9223" width="10.140625" style="257" bestFit="1" customWidth="1"/>
    <col min="9224" max="9224" width="5" style="257" bestFit="1" customWidth="1"/>
    <col min="9225" max="9225" width="18.28515625" style="257" bestFit="1" customWidth="1"/>
    <col min="9226" max="9226" width="14.85546875" style="257" bestFit="1" customWidth="1"/>
    <col min="9227" max="9227" width="13.5703125" style="257" bestFit="1" customWidth="1"/>
    <col min="9228" max="9228" width="11.28515625" style="257" bestFit="1" customWidth="1"/>
    <col min="9229" max="9229" width="9.85546875" style="257" bestFit="1" customWidth="1"/>
    <col min="9230" max="9230" width="11.5703125" style="257" bestFit="1" customWidth="1"/>
    <col min="9231" max="9472" width="10.85546875" style="257"/>
    <col min="9473" max="9473" width="6.42578125" style="257" bestFit="1" customWidth="1"/>
    <col min="9474" max="9474" width="20.7109375" style="257" bestFit="1" customWidth="1"/>
    <col min="9475" max="9475" width="7.42578125" style="257" bestFit="1" customWidth="1"/>
    <col min="9476" max="9476" width="14.42578125" style="257" customWidth="1"/>
    <col min="9477" max="9477" width="6.7109375" style="257" bestFit="1" customWidth="1"/>
    <col min="9478" max="9478" width="16.5703125" style="257" bestFit="1" customWidth="1"/>
    <col min="9479" max="9479" width="10.140625" style="257" bestFit="1" customWidth="1"/>
    <col min="9480" max="9480" width="5" style="257" bestFit="1" customWidth="1"/>
    <col min="9481" max="9481" width="18.28515625" style="257" bestFit="1" customWidth="1"/>
    <col min="9482" max="9482" width="14.85546875" style="257" bestFit="1" customWidth="1"/>
    <col min="9483" max="9483" width="13.5703125" style="257" bestFit="1" customWidth="1"/>
    <col min="9484" max="9484" width="11.28515625" style="257" bestFit="1" customWidth="1"/>
    <col min="9485" max="9485" width="9.85546875" style="257" bestFit="1" customWidth="1"/>
    <col min="9486" max="9486" width="11.5703125" style="257" bestFit="1" customWidth="1"/>
    <col min="9487" max="9728" width="10.85546875" style="257"/>
    <col min="9729" max="9729" width="6.42578125" style="257" bestFit="1" customWidth="1"/>
    <col min="9730" max="9730" width="20.7109375" style="257" bestFit="1" customWidth="1"/>
    <col min="9731" max="9731" width="7.42578125" style="257" bestFit="1" customWidth="1"/>
    <col min="9732" max="9732" width="14.42578125" style="257" customWidth="1"/>
    <col min="9733" max="9733" width="6.7109375" style="257" bestFit="1" customWidth="1"/>
    <col min="9734" max="9734" width="16.5703125" style="257" bestFit="1" customWidth="1"/>
    <col min="9735" max="9735" width="10.140625" style="257" bestFit="1" customWidth="1"/>
    <col min="9736" max="9736" width="5" style="257" bestFit="1" customWidth="1"/>
    <col min="9737" max="9737" width="18.28515625" style="257" bestFit="1" customWidth="1"/>
    <col min="9738" max="9738" width="14.85546875" style="257" bestFit="1" customWidth="1"/>
    <col min="9739" max="9739" width="13.5703125" style="257" bestFit="1" customWidth="1"/>
    <col min="9740" max="9740" width="11.28515625" style="257" bestFit="1" customWidth="1"/>
    <col min="9741" max="9741" width="9.85546875" style="257" bestFit="1" customWidth="1"/>
    <col min="9742" max="9742" width="11.5703125" style="257" bestFit="1" customWidth="1"/>
    <col min="9743" max="9984" width="10.85546875" style="257"/>
    <col min="9985" max="9985" width="6.42578125" style="257" bestFit="1" customWidth="1"/>
    <col min="9986" max="9986" width="20.7109375" style="257" bestFit="1" customWidth="1"/>
    <col min="9987" max="9987" width="7.42578125" style="257" bestFit="1" customWidth="1"/>
    <col min="9988" max="9988" width="14.42578125" style="257" customWidth="1"/>
    <col min="9989" max="9989" width="6.7109375" style="257" bestFit="1" customWidth="1"/>
    <col min="9990" max="9990" width="16.5703125" style="257" bestFit="1" customWidth="1"/>
    <col min="9991" max="9991" width="10.140625" style="257" bestFit="1" customWidth="1"/>
    <col min="9992" max="9992" width="5" style="257" bestFit="1" customWidth="1"/>
    <col min="9993" max="9993" width="18.28515625" style="257" bestFit="1" customWidth="1"/>
    <col min="9994" max="9994" width="14.85546875" style="257" bestFit="1" customWidth="1"/>
    <col min="9995" max="9995" width="13.5703125" style="257" bestFit="1" customWidth="1"/>
    <col min="9996" max="9996" width="11.28515625" style="257" bestFit="1" customWidth="1"/>
    <col min="9997" max="9997" width="9.85546875" style="257" bestFit="1" customWidth="1"/>
    <col min="9998" max="9998" width="11.5703125" style="257" bestFit="1" customWidth="1"/>
    <col min="9999" max="10240" width="10.85546875" style="257"/>
    <col min="10241" max="10241" width="6.42578125" style="257" bestFit="1" customWidth="1"/>
    <col min="10242" max="10242" width="20.7109375" style="257" bestFit="1" customWidth="1"/>
    <col min="10243" max="10243" width="7.42578125" style="257" bestFit="1" customWidth="1"/>
    <col min="10244" max="10244" width="14.42578125" style="257" customWidth="1"/>
    <col min="10245" max="10245" width="6.7109375" style="257" bestFit="1" customWidth="1"/>
    <col min="10246" max="10246" width="16.5703125" style="257" bestFit="1" customWidth="1"/>
    <col min="10247" max="10247" width="10.140625" style="257" bestFit="1" customWidth="1"/>
    <col min="10248" max="10248" width="5" style="257" bestFit="1" customWidth="1"/>
    <col min="10249" max="10249" width="18.28515625" style="257" bestFit="1" customWidth="1"/>
    <col min="10250" max="10250" width="14.85546875" style="257" bestFit="1" customWidth="1"/>
    <col min="10251" max="10251" width="13.5703125" style="257" bestFit="1" customWidth="1"/>
    <col min="10252" max="10252" width="11.28515625" style="257" bestFit="1" customWidth="1"/>
    <col min="10253" max="10253" width="9.85546875" style="257" bestFit="1" customWidth="1"/>
    <col min="10254" max="10254" width="11.5703125" style="257" bestFit="1" customWidth="1"/>
    <col min="10255" max="10496" width="10.85546875" style="257"/>
    <col min="10497" max="10497" width="6.42578125" style="257" bestFit="1" customWidth="1"/>
    <col min="10498" max="10498" width="20.7109375" style="257" bestFit="1" customWidth="1"/>
    <col min="10499" max="10499" width="7.42578125" style="257" bestFit="1" customWidth="1"/>
    <col min="10500" max="10500" width="14.42578125" style="257" customWidth="1"/>
    <col min="10501" max="10501" width="6.7109375" style="257" bestFit="1" customWidth="1"/>
    <col min="10502" max="10502" width="16.5703125" style="257" bestFit="1" customWidth="1"/>
    <col min="10503" max="10503" width="10.140625" style="257" bestFit="1" customWidth="1"/>
    <col min="10504" max="10504" width="5" style="257" bestFit="1" customWidth="1"/>
    <col min="10505" max="10505" width="18.28515625" style="257" bestFit="1" customWidth="1"/>
    <col min="10506" max="10506" width="14.85546875" style="257" bestFit="1" customWidth="1"/>
    <col min="10507" max="10507" width="13.5703125" style="257" bestFit="1" customWidth="1"/>
    <col min="10508" max="10508" width="11.28515625" style="257" bestFit="1" customWidth="1"/>
    <col min="10509" max="10509" width="9.85546875" style="257" bestFit="1" customWidth="1"/>
    <col min="10510" max="10510" width="11.5703125" style="257" bestFit="1" customWidth="1"/>
    <col min="10511" max="10752" width="10.85546875" style="257"/>
    <col min="10753" max="10753" width="6.42578125" style="257" bestFit="1" customWidth="1"/>
    <col min="10754" max="10754" width="20.7109375" style="257" bestFit="1" customWidth="1"/>
    <col min="10755" max="10755" width="7.42578125" style="257" bestFit="1" customWidth="1"/>
    <col min="10756" max="10756" width="14.42578125" style="257" customWidth="1"/>
    <col min="10757" max="10757" width="6.7109375" style="257" bestFit="1" customWidth="1"/>
    <col min="10758" max="10758" width="16.5703125" style="257" bestFit="1" customWidth="1"/>
    <col min="10759" max="10759" width="10.140625" style="257" bestFit="1" customWidth="1"/>
    <col min="10760" max="10760" width="5" style="257" bestFit="1" customWidth="1"/>
    <col min="10761" max="10761" width="18.28515625" style="257" bestFit="1" customWidth="1"/>
    <col min="10762" max="10762" width="14.85546875" style="257" bestFit="1" customWidth="1"/>
    <col min="10763" max="10763" width="13.5703125" style="257" bestFit="1" customWidth="1"/>
    <col min="10764" max="10764" width="11.28515625" style="257" bestFit="1" customWidth="1"/>
    <col min="10765" max="10765" width="9.85546875" style="257" bestFit="1" customWidth="1"/>
    <col min="10766" max="10766" width="11.5703125" style="257" bestFit="1" customWidth="1"/>
    <col min="10767" max="11008" width="10.85546875" style="257"/>
    <col min="11009" max="11009" width="6.42578125" style="257" bestFit="1" customWidth="1"/>
    <col min="11010" max="11010" width="20.7109375" style="257" bestFit="1" customWidth="1"/>
    <col min="11011" max="11011" width="7.42578125" style="257" bestFit="1" customWidth="1"/>
    <col min="11012" max="11012" width="14.42578125" style="257" customWidth="1"/>
    <col min="11013" max="11013" width="6.7109375" style="257" bestFit="1" customWidth="1"/>
    <col min="11014" max="11014" width="16.5703125" style="257" bestFit="1" customWidth="1"/>
    <col min="11015" max="11015" width="10.140625" style="257" bestFit="1" customWidth="1"/>
    <col min="11016" max="11016" width="5" style="257" bestFit="1" customWidth="1"/>
    <col min="11017" max="11017" width="18.28515625" style="257" bestFit="1" customWidth="1"/>
    <col min="11018" max="11018" width="14.85546875" style="257" bestFit="1" customWidth="1"/>
    <col min="11019" max="11019" width="13.5703125" style="257" bestFit="1" customWidth="1"/>
    <col min="11020" max="11020" width="11.28515625" style="257" bestFit="1" customWidth="1"/>
    <col min="11021" max="11021" width="9.85546875" style="257" bestFit="1" customWidth="1"/>
    <col min="11022" max="11022" width="11.5703125" style="257" bestFit="1" customWidth="1"/>
    <col min="11023" max="11264" width="10.85546875" style="257"/>
    <col min="11265" max="11265" width="6.42578125" style="257" bestFit="1" customWidth="1"/>
    <col min="11266" max="11266" width="20.7109375" style="257" bestFit="1" customWidth="1"/>
    <col min="11267" max="11267" width="7.42578125" style="257" bestFit="1" customWidth="1"/>
    <col min="11268" max="11268" width="14.42578125" style="257" customWidth="1"/>
    <col min="11269" max="11269" width="6.7109375" style="257" bestFit="1" customWidth="1"/>
    <col min="11270" max="11270" width="16.5703125" style="257" bestFit="1" customWidth="1"/>
    <col min="11271" max="11271" width="10.140625" style="257" bestFit="1" customWidth="1"/>
    <col min="11272" max="11272" width="5" style="257" bestFit="1" customWidth="1"/>
    <col min="11273" max="11273" width="18.28515625" style="257" bestFit="1" customWidth="1"/>
    <col min="11274" max="11274" width="14.85546875" style="257" bestFit="1" customWidth="1"/>
    <col min="11275" max="11275" width="13.5703125" style="257" bestFit="1" customWidth="1"/>
    <col min="11276" max="11276" width="11.28515625" style="257" bestFit="1" customWidth="1"/>
    <col min="11277" max="11277" width="9.85546875" style="257" bestFit="1" customWidth="1"/>
    <col min="11278" max="11278" width="11.5703125" style="257" bestFit="1" customWidth="1"/>
    <col min="11279" max="11520" width="10.85546875" style="257"/>
    <col min="11521" max="11521" width="6.42578125" style="257" bestFit="1" customWidth="1"/>
    <col min="11522" max="11522" width="20.7109375" style="257" bestFit="1" customWidth="1"/>
    <col min="11523" max="11523" width="7.42578125" style="257" bestFit="1" customWidth="1"/>
    <col min="11524" max="11524" width="14.42578125" style="257" customWidth="1"/>
    <col min="11525" max="11525" width="6.7109375" style="257" bestFit="1" customWidth="1"/>
    <col min="11526" max="11526" width="16.5703125" style="257" bestFit="1" customWidth="1"/>
    <col min="11527" max="11527" width="10.140625" style="257" bestFit="1" customWidth="1"/>
    <col min="11528" max="11528" width="5" style="257" bestFit="1" customWidth="1"/>
    <col min="11529" max="11529" width="18.28515625" style="257" bestFit="1" customWidth="1"/>
    <col min="11530" max="11530" width="14.85546875" style="257" bestFit="1" customWidth="1"/>
    <col min="11531" max="11531" width="13.5703125" style="257" bestFit="1" customWidth="1"/>
    <col min="11532" max="11532" width="11.28515625" style="257" bestFit="1" customWidth="1"/>
    <col min="11533" max="11533" width="9.85546875" style="257" bestFit="1" customWidth="1"/>
    <col min="11534" max="11534" width="11.5703125" style="257" bestFit="1" customWidth="1"/>
    <col min="11535" max="11776" width="10.85546875" style="257"/>
    <col min="11777" max="11777" width="6.42578125" style="257" bestFit="1" customWidth="1"/>
    <col min="11778" max="11778" width="20.7109375" style="257" bestFit="1" customWidth="1"/>
    <col min="11779" max="11779" width="7.42578125" style="257" bestFit="1" customWidth="1"/>
    <col min="11780" max="11780" width="14.42578125" style="257" customWidth="1"/>
    <col min="11781" max="11781" width="6.7109375" style="257" bestFit="1" customWidth="1"/>
    <col min="11782" max="11782" width="16.5703125" style="257" bestFit="1" customWidth="1"/>
    <col min="11783" max="11783" width="10.140625" style="257" bestFit="1" customWidth="1"/>
    <col min="11784" max="11784" width="5" style="257" bestFit="1" customWidth="1"/>
    <col min="11785" max="11785" width="18.28515625" style="257" bestFit="1" customWidth="1"/>
    <col min="11786" max="11786" width="14.85546875" style="257" bestFit="1" customWidth="1"/>
    <col min="11787" max="11787" width="13.5703125" style="257" bestFit="1" customWidth="1"/>
    <col min="11788" max="11788" width="11.28515625" style="257" bestFit="1" customWidth="1"/>
    <col min="11789" max="11789" width="9.85546875" style="257" bestFit="1" customWidth="1"/>
    <col min="11790" max="11790" width="11.5703125" style="257" bestFit="1" customWidth="1"/>
    <col min="11791" max="12032" width="10.85546875" style="257"/>
    <col min="12033" max="12033" width="6.42578125" style="257" bestFit="1" customWidth="1"/>
    <col min="12034" max="12034" width="20.7109375" style="257" bestFit="1" customWidth="1"/>
    <col min="12035" max="12035" width="7.42578125" style="257" bestFit="1" customWidth="1"/>
    <col min="12036" max="12036" width="14.42578125" style="257" customWidth="1"/>
    <col min="12037" max="12037" width="6.7109375" style="257" bestFit="1" customWidth="1"/>
    <col min="12038" max="12038" width="16.5703125" style="257" bestFit="1" customWidth="1"/>
    <col min="12039" max="12039" width="10.140625" style="257" bestFit="1" customWidth="1"/>
    <col min="12040" max="12040" width="5" style="257" bestFit="1" customWidth="1"/>
    <col min="12041" max="12041" width="18.28515625" style="257" bestFit="1" customWidth="1"/>
    <col min="12042" max="12042" width="14.85546875" style="257" bestFit="1" customWidth="1"/>
    <col min="12043" max="12043" width="13.5703125" style="257" bestFit="1" customWidth="1"/>
    <col min="12044" max="12044" width="11.28515625" style="257" bestFit="1" customWidth="1"/>
    <col min="12045" max="12045" width="9.85546875" style="257" bestFit="1" customWidth="1"/>
    <col min="12046" max="12046" width="11.5703125" style="257" bestFit="1" customWidth="1"/>
    <col min="12047" max="12288" width="10.85546875" style="257"/>
    <col min="12289" max="12289" width="6.42578125" style="257" bestFit="1" customWidth="1"/>
    <col min="12290" max="12290" width="20.7109375" style="257" bestFit="1" customWidth="1"/>
    <col min="12291" max="12291" width="7.42578125" style="257" bestFit="1" customWidth="1"/>
    <col min="12292" max="12292" width="14.42578125" style="257" customWidth="1"/>
    <col min="12293" max="12293" width="6.7109375" style="257" bestFit="1" customWidth="1"/>
    <col min="12294" max="12294" width="16.5703125" style="257" bestFit="1" customWidth="1"/>
    <col min="12295" max="12295" width="10.140625" style="257" bestFit="1" customWidth="1"/>
    <col min="12296" max="12296" width="5" style="257" bestFit="1" customWidth="1"/>
    <col min="12297" max="12297" width="18.28515625" style="257" bestFit="1" customWidth="1"/>
    <col min="12298" max="12298" width="14.85546875" style="257" bestFit="1" customWidth="1"/>
    <col min="12299" max="12299" width="13.5703125" style="257" bestFit="1" customWidth="1"/>
    <col min="12300" max="12300" width="11.28515625" style="257" bestFit="1" customWidth="1"/>
    <col min="12301" max="12301" width="9.85546875" style="257" bestFit="1" customWidth="1"/>
    <col min="12302" max="12302" width="11.5703125" style="257" bestFit="1" customWidth="1"/>
    <col min="12303" max="12544" width="10.85546875" style="257"/>
    <col min="12545" max="12545" width="6.42578125" style="257" bestFit="1" customWidth="1"/>
    <col min="12546" max="12546" width="20.7109375" style="257" bestFit="1" customWidth="1"/>
    <col min="12547" max="12547" width="7.42578125" style="257" bestFit="1" customWidth="1"/>
    <col min="12548" max="12548" width="14.42578125" style="257" customWidth="1"/>
    <col min="12549" max="12549" width="6.7109375" style="257" bestFit="1" customWidth="1"/>
    <col min="12550" max="12550" width="16.5703125" style="257" bestFit="1" customWidth="1"/>
    <col min="12551" max="12551" width="10.140625" style="257" bestFit="1" customWidth="1"/>
    <col min="12552" max="12552" width="5" style="257" bestFit="1" customWidth="1"/>
    <col min="12553" max="12553" width="18.28515625" style="257" bestFit="1" customWidth="1"/>
    <col min="12554" max="12554" width="14.85546875" style="257" bestFit="1" customWidth="1"/>
    <col min="12555" max="12555" width="13.5703125" style="257" bestFit="1" customWidth="1"/>
    <col min="12556" max="12556" width="11.28515625" style="257" bestFit="1" customWidth="1"/>
    <col min="12557" max="12557" width="9.85546875" style="257" bestFit="1" customWidth="1"/>
    <col min="12558" max="12558" width="11.5703125" style="257" bestFit="1" customWidth="1"/>
    <col min="12559" max="12800" width="10.85546875" style="257"/>
    <col min="12801" max="12801" width="6.42578125" style="257" bestFit="1" customWidth="1"/>
    <col min="12802" max="12802" width="20.7109375" style="257" bestFit="1" customWidth="1"/>
    <col min="12803" max="12803" width="7.42578125" style="257" bestFit="1" customWidth="1"/>
    <col min="12804" max="12804" width="14.42578125" style="257" customWidth="1"/>
    <col min="12805" max="12805" width="6.7109375" style="257" bestFit="1" customWidth="1"/>
    <col min="12806" max="12806" width="16.5703125" style="257" bestFit="1" customWidth="1"/>
    <col min="12807" max="12807" width="10.140625" style="257" bestFit="1" customWidth="1"/>
    <col min="12808" max="12808" width="5" style="257" bestFit="1" customWidth="1"/>
    <col min="12809" max="12809" width="18.28515625" style="257" bestFit="1" customWidth="1"/>
    <col min="12810" max="12810" width="14.85546875" style="257" bestFit="1" customWidth="1"/>
    <col min="12811" max="12811" width="13.5703125" style="257" bestFit="1" customWidth="1"/>
    <col min="12812" max="12812" width="11.28515625" style="257" bestFit="1" customWidth="1"/>
    <col min="12813" max="12813" width="9.85546875" style="257" bestFit="1" customWidth="1"/>
    <col min="12814" max="12814" width="11.5703125" style="257" bestFit="1" customWidth="1"/>
    <col min="12815" max="13056" width="10.85546875" style="257"/>
    <col min="13057" max="13057" width="6.42578125" style="257" bestFit="1" customWidth="1"/>
    <col min="13058" max="13058" width="20.7109375" style="257" bestFit="1" customWidth="1"/>
    <col min="13059" max="13059" width="7.42578125" style="257" bestFit="1" customWidth="1"/>
    <col min="13060" max="13060" width="14.42578125" style="257" customWidth="1"/>
    <col min="13061" max="13061" width="6.7109375" style="257" bestFit="1" customWidth="1"/>
    <col min="13062" max="13062" width="16.5703125" style="257" bestFit="1" customWidth="1"/>
    <col min="13063" max="13063" width="10.140625" style="257" bestFit="1" customWidth="1"/>
    <col min="13064" max="13064" width="5" style="257" bestFit="1" customWidth="1"/>
    <col min="13065" max="13065" width="18.28515625" style="257" bestFit="1" customWidth="1"/>
    <col min="13066" max="13066" width="14.85546875" style="257" bestFit="1" customWidth="1"/>
    <col min="13067" max="13067" width="13.5703125" style="257" bestFit="1" customWidth="1"/>
    <col min="13068" max="13068" width="11.28515625" style="257" bestFit="1" customWidth="1"/>
    <col min="13069" max="13069" width="9.85546875" style="257" bestFit="1" customWidth="1"/>
    <col min="13070" max="13070" width="11.5703125" style="257" bestFit="1" customWidth="1"/>
    <col min="13071" max="13312" width="10.85546875" style="257"/>
    <col min="13313" max="13313" width="6.42578125" style="257" bestFit="1" customWidth="1"/>
    <col min="13314" max="13314" width="20.7109375" style="257" bestFit="1" customWidth="1"/>
    <col min="13315" max="13315" width="7.42578125" style="257" bestFit="1" customWidth="1"/>
    <col min="13316" max="13316" width="14.42578125" style="257" customWidth="1"/>
    <col min="13317" max="13317" width="6.7109375" style="257" bestFit="1" customWidth="1"/>
    <col min="13318" max="13318" width="16.5703125" style="257" bestFit="1" customWidth="1"/>
    <col min="13319" max="13319" width="10.140625" style="257" bestFit="1" customWidth="1"/>
    <col min="13320" max="13320" width="5" style="257" bestFit="1" customWidth="1"/>
    <col min="13321" max="13321" width="18.28515625" style="257" bestFit="1" customWidth="1"/>
    <col min="13322" max="13322" width="14.85546875" style="257" bestFit="1" customWidth="1"/>
    <col min="13323" max="13323" width="13.5703125" style="257" bestFit="1" customWidth="1"/>
    <col min="13324" max="13324" width="11.28515625" style="257" bestFit="1" customWidth="1"/>
    <col min="13325" max="13325" width="9.85546875" style="257" bestFit="1" customWidth="1"/>
    <col min="13326" max="13326" width="11.5703125" style="257" bestFit="1" customWidth="1"/>
    <col min="13327" max="13568" width="10.85546875" style="257"/>
    <col min="13569" max="13569" width="6.42578125" style="257" bestFit="1" customWidth="1"/>
    <col min="13570" max="13570" width="20.7109375" style="257" bestFit="1" customWidth="1"/>
    <col min="13571" max="13571" width="7.42578125" style="257" bestFit="1" customWidth="1"/>
    <col min="13572" max="13572" width="14.42578125" style="257" customWidth="1"/>
    <col min="13573" max="13573" width="6.7109375" style="257" bestFit="1" customWidth="1"/>
    <col min="13574" max="13574" width="16.5703125" style="257" bestFit="1" customWidth="1"/>
    <col min="13575" max="13575" width="10.140625" style="257" bestFit="1" customWidth="1"/>
    <col min="13576" max="13576" width="5" style="257" bestFit="1" customWidth="1"/>
    <col min="13577" max="13577" width="18.28515625" style="257" bestFit="1" customWidth="1"/>
    <col min="13578" max="13578" width="14.85546875" style="257" bestFit="1" customWidth="1"/>
    <col min="13579" max="13579" width="13.5703125" style="257" bestFit="1" customWidth="1"/>
    <col min="13580" max="13580" width="11.28515625" style="257" bestFit="1" customWidth="1"/>
    <col min="13581" max="13581" width="9.85546875" style="257" bestFit="1" customWidth="1"/>
    <col min="13582" max="13582" width="11.5703125" style="257" bestFit="1" customWidth="1"/>
    <col min="13583" max="13824" width="10.85546875" style="257"/>
    <col min="13825" max="13825" width="6.42578125" style="257" bestFit="1" customWidth="1"/>
    <col min="13826" max="13826" width="20.7109375" style="257" bestFit="1" customWidth="1"/>
    <col min="13827" max="13827" width="7.42578125" style="257" bestFit="1" customWidth="1"/>
    <col min="13828" max="13828" width="14.42578125" style="257" customWidth="1"/>
    <col min="13829" max="13829" width="6.7109375" style="257" bestFit="1" customWidth="1"/>
    <col min="13830" max="13830" width="16.5703125" style="257" bestFit="1" customWidth="1"/>
    <col min="13831" max="13831" width="10.140625" style="257" bestFit="1" customWidth="1"/>
    <col min="13832" max="13832" width="5" style="257" bestFit="1" customWidth="1"/>
    <col min="13833" max="13833" width="18.28515625" style="257" bestFit="1" customWidth="1"/>
    <col min="13834" max="13834" width="14.85546875" style="257" bestFit="1" customWidth="1"/>
    <col min="13835" max="13835" width="13.5703125" style="257" bestFit="1" customWidth="1"/>
    <col min="13836" max="13836" width="11.28515625" style="257" bestFit="1" customWidth="1"/>
    <col min="13837" max="13837" width="9.85546875" style="257" bestFit="1" customWidth="1"/>
    <col min="13838" max="13838" width="11.5703125" style="257" bestFit="1" customWidth="1"/>
    <col min="13839" max="14080" width="10.85546875" style="257"/>
    <col min="14081" max="14081" width="6.42578125" style="257" bestFit="1" customWidth="1"/>
    <col min="14082" max="14082" width="20.7109375" style="257" bestFit="1" customWidth="1"/>
    <col min="14083" max="14083" width="7.42578125" style="257" bestFit="1" customWidth="1"/>
    <col min="14084" max="14084" width="14.42578125" style="257" customWidth="1"/>
    <col min="14085" max="14085" width="6.7109375" style="257" bestFit="1" customWidth="1"/>
    <col min="14086" max="14086" width="16.5703125" style="257" bestFit="1" customWidth="1"/>
    <col min="14087" max="14087" width="10.140625" style="257" bestFit="1" customWidth="1"/>
    <col min="14088" max="14088" width="5" style="257" bestFit="1" customWidth="1"/>
    <col min="14089" max="14089" width="18.28515625" style="257" bestFit="1" customWidth="1"/>
    <col min="14090" max="14090" width="14.85546875" style="257" bestFit="1" customWidth="1"/>
    <col min="14091" max="14091" width="13.5703125" style="257" bestFit="1" customWidth="1"/>
    <col min="14092" max="14092" width="11.28515625" style="257" bestFit="1" customWidth="1"/>
    <col min="14093" max="14093" width="9.85546875" style="257" bestFit="1" customWidth="1"/>
    <col min="14094" max="14094" width="11.5703125" style="257" bestFit="1" customWidth="1"/>
    <col min="14095" max="14336" width="10.85546875" style="257"/>
    <col min="14337" max="14337" width="6.42578125" style="257" bestFit="1" customWidth="1"/>
    <col min="14338" max="14338" width="20.7109375" style="257" bestFit="1" customWidth="1"/>
    <col min="14339" max="14339" width="7.42578125" style="257" bestFit="1" customWidth="1"/>
    <col min="14340" max="14340" width="14.42578125" style="257" customWidth="1"/>
    <col min="14341" max="14341" width="6.7109375" style="257" bestFit="1" customWidth="1"/>
    <col min="14342" max="14342" width="16.5703125" style="257" bestFit="1" customWidth="1"/>
    <col min="14343" max="14343" width="10.140625" style="257" bestFit="1" customWidth="1"/>
    <col min="14344" max="14344" width="5" style="257" bestFit="1" customWidth="1"/>
    <col min="14345" max="14345" width="18.28515625" style="257" bestFit="1" customWidth="1"/>
    <col min="14346" max="14346" width="14.85546875" style="257" bestFit="1" customWidth="1"/>
    <col min="14347" max="14347" width="13.5703125" style="257" bestFit="1" customWidth="1"/>
    <col min="14348" max="14348" width="11.28515625" style="257" bestFit="1" customWidth="1"/>
    <col min="14349" max="14349" width="9.85546875" style="257" bestFit="1" customWidth="1"/>
    <col min="14350" max="14350" width="11.5703125" style="257" bestFit="1" customWidth="1"/>
    <col min="14351" max="14592" width="10.85546875" style="257"/>
    <col min="14593" max="14593" width="6.42578125" style="257" bestFit="1" customWidth="1"/>
    <col min="14594" max="14594" width="20.7109375" style="257" bestFit="1" customWidth="1"/>
    <col min="14595" max="14595" width="7.42578125" style="257" bestFit="1" customWidth="1"/>
    <col min="14596" max="14596" width="14.42578125" style="257" customWidth="1"/>
    <col min="14597" max="14597" width="6.7109375" style="257" bestFit="1" customWidth="1"/>
    <col min="14598" max="14598" width="16.5703125" style="257" bestFit="1" customWidth="1"/>
    <col min="14599" max="14599" width="10.140625" style="257" bestFit="1" customWidth="1"/>
    <col min="14600" max="14600" width="5" style="257" bestFit="1" customWidth="1"/>
    <col min="14601" max="14601" width="18.28515625" style="257" bestFit="1" customWidth="1"/>
    <col min="14602" max="14602" width="14.85546875" style="257" bestFit="1" customWidth="1"/>
    <col min="14603" max="14603" width="13.5703125" style="257" bestFit="1" customWidth="1"/>
    <col min="14604" max="14604" width="11.28515625" style="257" bestFit="1" customWidth="1"/>
    <col min="14605" max="14605" width="9.85546875" style="257" bestFit="1" customWidth="1"/>
    <col min="14606" max="14606" width="11.5703125" style="257" bestFit="1" customWidth="1"/>
    <col min="14607" max="14848" width="10.85546875" style="257"/>
    <col min="14849" max="14849" width="6.42578125" style="257" bestFit="1" customWidth="1"/>
    <col min="14850" max="14850" width="20.7109375" style="257" bestFit="1" customWidth="1"/>
    <col min="14851" max="14851" width="7.42578125" style="257" bestFit="1" customWidth="1"/>
    <col min="14852" max="14852" width="14.42578125" style="257" customWidth="1"/>
    <col min="14853" max="14853" width="6.7109375" style="257" bestFit="1" customWidth="1"/>
    <col min="14854" max="14854" width="16.5703125" style="257" bestFit="1" customWidth="1"/>
    <col min="14855" max="14855" width="10.140625" style="257" bestFit="1" customWidth="1"/>
    <col min="14856" max="14856" width="5" style="257" bestFit="1" customWidth="1"/>
    <col min="14857" max="14857" width="18.28515625" style="257" bestFit="1" customWidth="1"/>
    <col min="14858" max="14858" width="14.85546875" style="257" bestFit="1" customWidth="1"/>
    <col min="14859" max="14859" width="13.5703125" style="257" bestFit="1" customWidth="1"/>
    <col min="14860" max="14860" width="11.28515625" style="257" bestFit="1" customWidth="1"/>
    <col min="14861" max="14861" width="9.85546875" style="257" bestFit="1" customWidth="1"/>
    <col min="14862" max="14862" width="11.5703125" style="257" bestFit="1" customWidth="1"/>
    <col min="14863" max="15104" width="10.85546875" style="257"/>
    <col min="15105" max="15105" width="6.42578125" style="257" bestFit="1" customWidth="1"/>
    <col min="15106" max="15106" width="20.7109375" style="257" bestFit="1" customWidth="1"/>
    <col min="15107" max="15107" width="7.42578125" style="257" bestFit="1" customWidth="1"/>
    <col min="15108" max="15108" width="14.42578125" style="257" customWidth="1"/>
    <col min="15109" max="15109" width="6.7109375" style="257" bestFit="1" customWidth="1"/>
    <col min="15110" max="15110" width="16.5703125" style="257" bestFit="1" customWidth="1"/>
    <col min="15111" max="15111" width="10.140625" style="257" bestFit="1" customWidth="1"/>
    <col min="15112" max="15112" width="5" style="257" bestFit="1" customWidth="1"/>
    <col min="15113" max="15113" width="18.28515625" style="257" bestFit="1" customWidth="1"/>
    <col min="15114" max="15114" width="14.85546875" style="257" bestFit="1" customWidth="1"/>
    <col min="15115" max="15115" width="13.5703125" style="257" bestFit="1" customWidth="1"/>
    <col min="15116" max="15116" width="11.28515625" style="257" bestFit="1" customWidth="1"/>
    <col min="15117" max="15117" width="9.85546875" style="257" bestFit="1" customWidth="1"/>
    <col min="15118" max="15118" width="11.5703125" style="257" bestFit="1" customWidth="1"/>
    <col min="15119" max="15360" width="10.85546875" style="257"/>
    <col min="15361" max="15361" width="6.42578125" style="257" bestFit="1" customWidth="1"/>
    <col min="15362" max="15362" width="20.7109375" style="257" bestFit="1" customWidth="1"/>
    <col min="15363" max="15363" width="7.42578125" style="257" bestFit="1" customWidth="1"/>
    <col min="15364" max="15364" width="14.42578125" style="257" customWidth="1"/>
    <col min="15365" max="15365" width="6.7109375" style="257" bestFit="1" customWidth="1"/>
    <col min="15366" max="15366" width="16.5703125" style="257" bestFit="1" customWidth="1"/>
    <col min="15367" max="15367" width="10.140625" style="257" bestFit="1" customWidth="1"/>
    <col min="15368" max="15368" width="5" style="257" bestFit="1" customWidth="1"/>
    <col min="15369" max="15369" width="18.28515625" style="257" bestFit="1" customWidth="1"/>
    <col min="15370" max="15370" width="14.85546875" style="257" bestFit="1" customWidth="1"/>
    <col min="15371" max="15371" width="13.5703125" style="257" bestFit="1" customWidth="1"/>
    <col min="15372" max="15372" width="11.28515625" style="257" bestFit="1" customWidth="1"/>
    <col min="15373" max="15373" width="9.85546875" style="257" bestFit="1" customWidth="1"/>
    <col min="15374" max="15374" width="11.5703125" style="257" bestFit="1" customWidth="1"/>
    <col min="15375" max="15616" width="10.85546875" style="257"/>
    <col min="15617" max="15617" width="6.42578125" style="257" bestFit="1" customWidth="1"/>
    <col min="15618" max="15618" width="20.7109375" style="257" bestFit="1" customWidth="1"/>
    <col min="15619" max="15619" width="7.42578125" style="257" bestFit="1" customWidth="1"/>
    <col min="15620" max="15620" width="14.42578125" style="257" customWidth="1"/>
    <col min="15621" max="15621" width="6.7109375" style="257" bestFit="1" customWidth="1"/>
    <col min="15622" max="15622" width="16.5703125" style="257" bestFit="1" customWidth="1"/>
    <col min="15623" max="15623" width="10.140625" style="257" bestFit="1" customWidth="1"/>
    <col min="15624" max="15624" width="5" style="257" bestFit="1" customWidth="1"/>
    <col min="15625" max="15625" width="18.28515625" style="257" bestFit="1" customWidth="1"/>
    <col min="15626" max="15626" width="14.85546875" style="257" bestFit="1" customWidth="1"/>
    <col min="15627" max="15627" width="13.5703125" style="257" bestFit="1" customWidth="1"/>
    <col min="15628" max="15628" width="11.28515625" style="257" bestFit="1" customWidth="1"/>
    <col min="15629" max="15629" width="9.85546875" style="257" bestFit="1" customWidth="1"/>
    <col min="15630" max="15630" width="11.5703125" style="257" bestFit="1" customWidth="1"/>
    <col min="15631" max="15872" width="10.85546875" style="257"/>
    <col min="15873" max="15873" width="6.42578125" style="257" bestFit="1" customWidth="1"/>
    <col min="15874" max="15874" width="20.7109375" style="257" bestFit="1" customWidth="1"/>
    <col min="15875" max="15875" width="7.42578125" style="257" bestFit="1" customWidth="1"/>
    <col min="15876" max="15876" width="14.42578125" style="257" customWidth="1"/>
    <col min="15877" max="15877" width="6.7109375" style="257" bestFit="1" customWidth="1"/>
    <col min="15878" max="15878" width="16.5703125" style="257" bestFit="1" customWidth="1"/>
    <col min="15879" max="15879" width="10.140625" style="257" bestFit="1" customWidth="1"/>
    <col min="15880" max="15880" width="5" style="257" bestFit="1" customWidth="1"/>
    <col min="15881" max="15881" width="18.28515625" style="257" bestFit="1" customWidth="1"/>
    <col min="15882" max="15882" width="14.85546875" style="257" bestFit="1" customWidth="1"/>
    <col min="15883" max="15883" width="13.5703125" style="257" bestFit="1" customWidth="1"/>
    <col min="15884" max="15884" width="11.28515625" style="257" bestFit="1" customWidth="1"/>
    <col min="15885" max="15885" width="9.85546875" style="257" bestFit="1" customWidth="1"/>
    <col min="15886" max="15886" width="11.5703125" style="257" bestFit="1" customWidth="1"/>
    <col min="15887" max="16128" width="10.85546875" style="257"/>
    <col min="16129" max="16129" width="6.42578125" style="257" bestFit="1" customWidth="1"/>
    <col min="16130" max="16130" width="20.7109375" style="257" bestFit="1" customWidth="1"/>
    <col min="16131" max="16131" width="7.42578125" style="257" bestFit="1" customWidth="1"/>
    <col min="16132" max="16132" width="14.42578125" style="257" customWidth="1"/>
    <col min="16133" max="16133" width="6.7109375" style="257" bestFit="1" customWidth="1"/>
    <col min="16134" max="16134" width="16.5703125" style="257" bestFit="1" customWidth="1"/>
    <col min="16135" max="16135" width="10.140625" style="257" bestFit="1" customWidth="1"/>
    <col min="16136" max="16136" width="5" style="257" bestFit="1" customWidth="1"/>
    <col min="16137" max="16137" width="18.28515625" style="257" bestFit="1" customWidth="1"/>
    <col min="16138" max="16138" width="14.85546875" style="257" bestFit="1" customWidth="1"/>
    <col min="16139" max="16139" width="13.5703125" style="257" bestFit="1" customWidth="1"/>
    <col min="16140" max="16140" width="11.28515625" style="257" bestFit="1" customWidth="1"/>
    <col min="16141" max="16141" width="9.85546875" style="257" bestFit="1" customWidth="1"/>
    <col min="16142" max="16142" width="11.5703125" style="257" bestFit="1" customWidth="1"/>
    <col min="16143" max="16384" width="10.85546875" style="257"/>
  </cols>
  <sheetData>
    <row r="1" spans="1:14" ht="39.75" customHeight="1">
      <c r="A1" s="279" t="s">
        <v>145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</row>
    <row r="2" spans="1:14" ht="20.100000000000001" customHeight="1">
      <c r="A2" s="286" t="s">
        <v>146</v>
      </c>
      <c r="B2" s="286"/>
      <c r="C2" s="289" t="str">
        <f>+'input sheet'!C1</f>
        <v>Adnaan</v>
      </c>
      <c r="D2" s="289"/>
      <c r="E2" s="289"/>
      <c r="F2" s="255" t="s">
        <v>147</v>
      </c>
      <c r="G2" s="281"/>
      <c r="H2" s="281"/>
      <c r="I2" s="281"/>
      <c r="J2" s="258" t="s">
        <v>167</v>
      </c>
      <c r="K2" s="258"/>
      <c r="L2" s="258" t="s">
        <v>16</v>
      </c>
    </row>
    <row r="3" spans="1:14" ht="20.100000000000001" customHeight="1">
      <c r="A3" s="286" t="s">
        <v>61</v>
      </c>
      <c r="B3" s="286"/>
      <c r="C3" s="290" t="str">
        <f>+'input sheet'!C2</f>
        <v xml:space="preserve">bic </v>
      </c>
      <c r="D3" s="289"/>
      <c r="E3" s="289"/>
      <c r="F3" s="255" t="s">
        <v>148</v>
      </c>
      <c r="G3" s="281"/>
      <c r="H3" s="281"/>
      <c r="I3" s="281"/>
      <c r="J3" s="259" t="s">
        <v>138</v>
      </c>
      <c r="K3" s="256"/>
      <c r="L3" s="256" t="s">
        <v>138</v>
      </c>
      <c r="M3" s="256"/>
      <c r="N3" s="256"/>
    </row>
    <row r="4" spans="1:14" ht="20.100000000000001" customHeight="1">
      <c r="A4" s="286" t="s">
        <v>149</v>
      </c>
      <c r="B4" s="286"/>
      <c r="C4" s="289"/>
      <c r="D4" s="289"/>
      <c r="E4" s="289"/>
      <c r="F4" s="255" t="s">
        <v>150</v>
      </c>
      <c r="G4" s="281"/>
      <c r="H4" s="281"/>
      <c r="I4" s="281"/>
      <c r="J4" s="256"/>
      <c r="K4" s="256"/>
      <c r="L4" s="256"/>
      <c r="M4" s="256"/>
      <c r="N4" s="256"/>
    </row>
    <row r="5" spans="1:14" ht="20.100000000000001" customHeight="1">
      <c r="A5" s="287" t="s">
        <v>151</v>
      </c>
      <c r="B5" s="287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</row>
    <row r="6" spans="1:14" ht="20.100000000000001" customHeight="1">
      <c r="A6" s="260" t="s">
        <v>152</v>
      </c>
      <c r="B6" s="104" t="s">
        <v>153</v>
      </c>
      <c r="C6" s="260" t="s">
        <v>154</v>
      </c>
      <c r="D6" s="260" t="s">
        <v>155</v>
      </c>
      <c r="E6" s="260" t="s">
        <v>156</v>
      </c>
      <c r="F6" s="105" t="s">
        <v>68</v>
      </c>
      <c r="G6" s="104" t="s">
        <v>157</v>
      </c>
      <c r="H6" s="104" t="s">
        <v>158</v>
      </c>
      <c r="I6" s="104" t="s">
        <v>159</v>
      </c>
      <c r="J6" s="104" t="s">
        <v>160</v>
      </c>
      <c r="K6" s="104" t="s">
        <v>161</v>
      </c>
      <c r="L6" s="104" t="s">
        <v>162</v>
      </c>
      <c r="M6" s="104" t="s">
        <v>163</v>
      </c>
      <c r="N6" s="104" t="s">
        <v>164</v>
      </c>
    </row>
    <row r="7" spans="1:14" ht="20.100000000000001" customHeight="1">
      <c r="A7" s="261">
        <v>1</v>
      </c>
      <c r="B7" s="109"/>
      <c r="C7" s="270"/>
      <c r="D7" s="271"/>
      <c r="E7" s="270"/>
      <c r="F7" s="109"/>
      <c r="G7" s="263"/>
      <c r="H7" s="109"/>
      <c r="I7" s="264"/>
      <c r="J7" s="264" t="str">
        <f>+J$3</f>
        <v>tbc</v>
      </c>
      <c r="K7" s="107"/>
      <c r="L7" s="264" t="str">
        <f t="shared" ref="L7:L25" si="0">+L$3</f>
        <v>tbc</v>
      </c>
      <c r="M7" s="108">
        <v>410</v>
      </c>
      <c r="N7" s="108">
        <f t="shared" ref="N7:N18" si="1">M7*G7</f>
        <v>0</v>
      </c>
    </row>
    <row r="8" spans="1:14" ht="20.100000000000001" customHeight="1">
      <c r="A8" s="261">
        <v>2</v>
      </c>
      <c r="B8" s="109"/>
      <c r="C8" s="271"/>
      <c r="D8" s="271"/>
      <c r="E8" s="271"/>
      <c r="F8" s="109"/>
      <c r="G8" s="263"/>
      <c r="H8" s="109"/>
      <c r="I8" s="264"/>
      <c r="J8" s="264" t="str">
        <f t="shared" ref="J8:J25" si="2">+J$3</f>
        <v>tbc</v>
      </c>
      <c r="K8" s="107"/>
      <c r="L8" s="264" t="str">
        <f t="shared" si="0"/>
        <v>tbc</v>
      </c>
      <c r="M8" s="108">
        <v>410</v>
      </c>
      <c r="N8" s="108">
        <f t="shared" si="1"/>
        <v>0</v>
      </c>
    </row>
    <row r="9" spans="1:14" ht="20.100000000000001" customHeight="1">
      <c r="A9" s="261">
        <v>3</v>
      </c>
      <c r="B9" s="109"/>
      <c r="C9" s="271"/>
      <c r="D9" s="271"/>
      <c r="E9" s="271"/>
      <c r="F9" s="109"/>
      <c r="G9" s="263"/>
      <c r="H9" s="109"/>
      <c r="I9" s="264"/>
      <c r="J9" s="264" t="str">
        <f t="shared" si="2"/>
        <v>tbc</v>
      </c>
      <c r="K9" s="107"/>
      <c r="L9" s="264" t="str">
        <f t="shared" si="0"/>
        <v>tbc</v>
      </c>
      <c r="M9" s="108">
        <v>410</v>
      </c>
      <c r="N9" s="108">
        <f t="shared" si="1"/>
        <v>0</v>
      </c>
    </row>
    <row r="10" spans="1:14" ht="20.100000000000001" customHeight="1">
      <c r="A10" s="261">
        <v>4</v>
      </c>
      <c r="B10" s="109"/>
      <c r="C10" s="271"/>
      <c r="D10" s="271"/>
      <c r="E10" s="270"/>
      <c r="F10" s="262"/>
      <c r="G10" s="263"/>
      <c r="H10" s="109"/>
      <c r="I10" s="264"/>
      <c r="J10" s="264" t="str">
        <f t="shared" si="2"/>
        <v>tbc</v>
      </c>
      <c r="K10" s="264"/>
      <c r="L10" s="264" t="str">
        <f t="shared" si="0"/>
        <v>tbc</v>
      </c>
      <c r="M10" s="108">
        <v>410</v>
      </c>
      <c r="N10" s="108">
        <f t="shared" si="1"/>
        <v>0</v>
      </c>
    </row>
    <row r="11" spans="1:14" ht="20.100000000000001" customHeight="1">
      <c r="A11" s="261">
        <v>5</v>
      </c>
      <c r="B11" s="109"/>
      <c r="C11" s="271"/>
      <c r="D11" s="271"/>
      <c r="E11" s="271"/>
      <c r="F11" s="262"/>
      <c r="G11" s="263"/>
      <c r="H11" s="109"/>
      <c r="I11" s="264"/>
      <c r="J11" s="264" t="str">
        <f t="shared" si="2"/>
        <v>tbc</v>
      </c>
      <c r="K11" s="107"/>
      <c r="L11" s="264" t="str">
        <f t="shared" si="0"/>
        <v>tbc</v>
      </c>
      <c r="M11" s="108">
        <v>410</v>
      </c>
      <c r="N11" s="108">
        <f t="shared" si="1"/>
        <v>0</v>
      </c>
    </row>
    <row r="12" spans="1:14" ht="20.100000000000001" customHeight="1">
      <c r="A12" s="261">
        <v>6</v>
      </c>
      <c r="B12" s="109"/>
      <c r="C12" s="271"/>
      <c r="D12" s="271"/>
      <c r="E12" s="270"/>
      <c r="F12" s="262"/>
      <c r="G12" s="263"/>
      <c r="H12" s="109"/>
      <c r="I12" s="264"/>
      <c r="J12" s="264" t="str">
        <f t="shared" si="2"/>
        <v>tbc</v>
      </c>
      <c r="K12" s="264"/>
      <c r="L12" s="264" t="str">
        <f t="shared" si="0"/>
        <v>tbc</v>
      </c>
      <c r="M12" s="108">
        <v>410</v>
      </c>
      <c r="N12" s="108">
        <f t="shared" si="1"/>
        <v>0</v>
      </c>
    </row>
    <row r="13" spans="1:14" ht="20.100000000000001" customHeight="1">
      <c r="A13" s="261">
        <v>7</v>
      </c>
      <c r="B13" s="109"/>
      <c r="C13" s="271"/>
      <c r="D13" s="271"/>
      <c r="E13" s="271"/>
      <c r="F13" s="262"/>
      <c r="G13" s="263"/>
      <c r="H13" s="109"/>
      <c r="I13" s="264"/>
      <c r="J13" s="264" t="str">
        <f t="shared" si="2"/>
        <v>tbc</v>
      </c>
      <c r="K13" s="107"/>
      <c r="L13" s="264" t="str">
        <f t="shared" si="0"/>
        <v>tbc</v>
      </c>
      <c r="M13" s="108">
        <v>410</v>
      </c>
      <c r="N13" s="108">
        <f t="shared" si="1"/>
        <v>0</v>
      </c>
    </row>
    <row r="14" spans="1:14" ht="20.100000000000001" customHeight="1">
      <c r="A14" s="261">
        <v>8</v>
      </c>
      <c r="B14" s="109"/>
      <c r="C14" s="271"/>
      <c r="D14" s="271"/>
      <c r="E14" s="271"/>
      <c r="F14" s="109"/>
      <c r="G14" s="263"/>
      <c r="H14" s="109"/>
      <c r="I14" s="264"/>
      <c r="J14" s="264" t="str">
        <f t="shared" si="2"/>
        <v>tbc</v>
      </c>
      <c r="K14" s="107"/>
      <c r="L14" s="264" t="str">
        <f t="shared" si="0"/>
        <v>tbc</v>
      </c>
      <c r="M14" s="108">
        <v>410</v>
      </c>
      <c r="N14" s="108">
        <f t="shared" si="1"/>
        <v>0</v>
      </c>
    </row>
    <row r="15" spans="1:14" ht="20.100000000000001" customHeight="1">
      <c r="A15" s="261">
        <v>9</v>
      </c>
      <c r="B15" s="109"/>
      <c r="C15" s="271"/>
      <c r="D15" s="271"/>
      <c r="E15" s="271"/>
      <c r="F15" s="109"/>
      <c r="G15" s="263"/>
      <c r="H15" s="109"/>
      <c r="I15" s="264"/>
      <c r="J15" s="264" t="str">
        <f t="shared" si="2"/>
        <v>tbc</v>
      </c>
      <c r="K15" s="264"/>
      <c r="L15" s="264" t="str">
        <f t="shared" si="0"/>
        <v>tbc</v>
      </c>
      <c r="M15" s="108">
        <v>410</v>
      </c>
      <c r="N15" s="108">
        <f t="shared" si="1"/>
        <v>0</v>
      </c>
    </row>
    <row r="16" spans="1:14" ht="20.100000000000001" customHeight="1">
      <c r="A16" s="261">
        <v>10</v>
      </c>
      <c r="B16" s="109"/>
      <c r="C16" s="271"/>
      <c r="D16" s="271"/>
      <c r="E16" s="271"/>
      <c r="F16" s="109"/>
      <c r="G16" s="263"/>
      <c r="H16" s="109"/>
      <c r="I16" s="264"/>
      <c r="J16" s="264" t="str">
        <f t="shared" si="2"/>
        <v>tbc</v>
      </c>
      <c r="K16" s="107"/>
      <c r="L16" s="264" t="str">
        <f t="shared" si="0"/>
        <v>tbc</v>
      </c>
      <c r="M16" s="108">
        <v>410</v>
      </c>
      <c r="N16" s="108">
        <f t="shared" si="1"/>
        <v>0</v>
      </c>
    </row>
    <row r="17" spans="1:15" ht="20.100000000000001" customHeight="1">
      <c r="A17" s="261">
        <v>11</v>
      </c>
      <c r="B17" s="109"/>
      <c r="C17" s="271"/>
      <c r="D17" s="271"/>
      <c r="E17" s="271"/>
      <c r="F17" s="109"/>
      <c r="G17" s="263"/>
      <c r="H17" s="109"/>
      <c r="I17" s="264"/>
      <c r="J17" s="264" t="str">
        <f t="shared" si="2"/>
        <v>tbc</v>
      </c>
      <c r="K17" s="107"/>
      <c r="L17" s="264" t="str">
        <f t="shared" si="0"/>
        <v>tbc</v>
      </c>
      <c r="M17" s="108">
        <v>410</v>
      </c>
      <c r="N17" s="108">
        <f t="shared" si="1"/>
        <v>0</v>
      </c>
    </row>
    <row r="18" spans="1:15" ht="20.100000000000001" customHeight="1">
      <c r="A18" s="261">
        <v>12</v>
      </c>
      <c r="B18" s="109"/>
      <c r="C18" s="271"/>
      <c r="D18" s="271"/>
      <c r="E18" s="270"/>
      <c r="F18" s="262"/>
      <c r="G18" s="263"/>
      <c r="H18" s="109"/>
      <c r="I18" s="264"/>
      <c r="J18" s="264" t="str">
        <f t="shared" si="2"/>
        <v>tbc</v>
      </c>
      <c r="K18" s="107"/>
      <c r="L18" s="264" t="str">
        <f t="shared" si="0"/>
        <v>tbc</v>
      </c>
      <c r="M18" s="108">
        <v>410</v>
      </c>
      <c r="N18" s="108">
        <f t="shared" si="1"/>
        <v>0</v>
      </c>
    </row>
    <row r="19" spans="1:15" ht="20.100000000000001" customHeight="1">
      <c r="A19" s="261">
        <v>13</v>
      </c>
      <c r="B19" s="109"/>
      <c r="C19" s="271"/>
      <c r="D19" s="271"/>
      <c r="E19" s="271"/>
      <c r="F19" s="109"/>
      <c r="G19" s="263"/>
      <c r="H19" s="109"/>
      <c r="I19" s="264"/>
      <c r="J19" s="264" t="str">
        <f t="shared" si="2"/>
        <v>tbc</v>
      </c>
      <c r="K19" s="264"/>
      <c r="L19" s="264" t="str">
        <f t="shared" si="0"/>
        <v>tbc</v>
      </c>
      <c r="M19" s="108">
        <v>410</v>
      </c>
      <c r="N19" s="108">
        <f t="shared" ref="N19:N24" si="3">M19*G19</f>
        <v>0</v>
      </c>
    </row>
    <row r="20" spans="1:15" ht="20.100000000000001" customHeight="1">
      <c r="A20" s="261">
        <v>14</v>
      </c>
      <c r="B20" s="262"/>
      <c r="C20" s="270"/>
      <c r="D20" s="271"/>
      <c r="E20" s="270"/>
      <c r="F20" s="262"/>
      <c r="G20" s="263"/>
      <c r="H20" s="109"/>
      <c r="I20" s="264"/>
      <c r="J20" s="264" t="str">
        <f t="shared" si="2"/>
        <v>tbc</v>
      </c>
      <c r="K20" s="107"/>
      <c r="L20" s="264" t="str">
        <f t="shared" si="0"/>
        <v>tbc</v>
      </c>
      <c r="M20" s="108">
        <v>410</v>
      </c>
      <c r="N20" s="108">
        <f t="shared" si="3"/>
        <v>0</v>
      </c>
    </row>
    <row r="21" spans="1:15" ht="20.100000000000001" customHeight="1">
      <c r="A21" s="261">
        <v>15</v>
      </c>
      <c r="B21" s="262"/>
      <c r="C21" s="270"/>
      <c r="D21" s="271"/>
      <c r="E21" s="270"/>
      <c r="F21" s="262"/>
      <c r="G21" s="263"/>
      <c r="H21" s="109"/>
      <c r="I21" s="264"/>
      <c r="J21" s="264" t="str">
        <f t="shared" si="2"/>
        <v>tbc</v>
      </c>
      <c r="K21" s="107"/>
      <c r="L21" s="264" t="str">
        <f t="shared" si="0"/>
        <v>tbc</v>
      </c>
      <c r="M21" s="108">
        <v>410</v>
      </c>
      <c r="N21" s="108">
        <f t="shared" si="3"/>
        <v>0</v>
      </c>
    </row>
    <row r="22" spans="1:15" ht="20.100000000000001" customHeight="1">
      <c r="A22" s="261">
        <v>16</v>
      </c>
      <c r="B22" s="262"/>
      <c r="C22" s="270"/>
      <c r="D22" s="271"/>
      <c r="E22" s="270"/>
      <c r="F22" s="262"/>
      <c r="G22" s="263"/>
      <c r="H22" s="109"/>
      <c r="I22" s="264"/>
      <c r="J22" s="264" t="str">
        <f t="shared" si="2"/>
        <v>tbc</v>
      </c>
      <c r="K22" s="107"/>
      <c r="L22" s="264" t="str">
        <f t="shared" si="0"/>
        <v>tbc</v>
      </c>
      <c r="M22" s="108">
        <v>410</v>
      </c>
      <c r="N22" s="108">
        <f t="shared" si="3"/>
        <v>0</v>
      </c>
    </row>
    <row r="23" spans="1:15" ht="20.100000000000001" customHeight="1">
      <c r="A23" s="261">
        <v>17</v>
      </c>
      <c r="B23" s="262"/>
      <c r="C23" s="270"/>
      <c r="D23" s="271"/>
      <c r="E23" s="270"/>
      <c r="F23" s="262"/>
      <c r="G23" s="263"/>
      <c r="H23" s="109"/>
      <c r="I23" s="264"/>
      <c r="J23" s="264" t="str">
        <f t="shared" si="2"/>
        <v>tbc</v>
      </c>
      <c r="K23" s="107"/>
      <c r="L23" s="264" t="str">
        <f t="shared" si="0"/>
        <v>tbc</v>
      </c>
      <c r="M23" s="108">
        <v>410</v>
      </c>
      <c r="N23" s="108">
        <f t="shared" si="3"/>
        <v>0</v>
      </c>
    </row>
    <row r="24" spans="1:15" ht="20.100000000000001" customHeight="1">
      <c r="A24" s="261">
        <v>18</v>
      </c>
      <c r="B24" s="262"/>
      <c r="C24" s="270"/>
      <c r="D24" s="271"/>
      <c r="E24" s="270"/>
      <c r="F24" s="262"/>
      <c r="G24" s="263"/>
      <c r="H24" s="109"/>
      <c r="I24" s="264"/>
      <c r="J24" s="264" t="str">
        <f t="shared" si="2"/>
        <v>tbc</v>
      </c>
      <c r="K24" s="107"/>
      <c r="L24" s="264" t="str">
        <f t="shared" si="0"/>
        <v>tbc</v>
      </c>
      <c r="M24" s="108">
        <v>410</v>
      </c>
      <c r="N24" s="108">
        <f t="shared" si="3"/>
        <v>0</v>
      </c>
    </row>
    <row r="25" spans="1:15" ht="20.100000000000001" customHeight="1">
      <c r="A25" s="261">
        <v>19</v>
      </c>
      <c r="B25" s="262"/>
      <c r="C25" s="270"/>
      <c r="D25" s="271"/>
      <c r="E25" s="270"/>
      <c r="F25" s="262"/>
      <c r="G25" s="107"/>
      <c r="H25" s="109"/>
      <c r="I25" s="264"/>
      <c r="J25" s="264" t="str">
        <f t="shared" si="2"/>
        <v>tbc</v>
      </c>
      <c r="K25" s="107"/>
      <c r="L25" s="264" t="str">
        <f t="shared" si="0"/>
        <v>tbc</v>
      </c>
      <c r="M25" s="108">
        <v>410</v>
      </c>
      <c r="N25" s="108">
        <f t="shared" ref="N25:N31" si="4">M25*G25</f>
        <v>0</v>
      </c>
    </row>
    <row r="26" spans="1:15" ht="20.100000000000001" customHeight="1">
      <c r="A26" s="261">
        <v>20</v>
      </c>
      <c r="B26" s="262"/>
      <c r="C26" s="270"/>
      <c r="D26" s="271"/>
      <c r="E26" s="270"/>
      <c r="F26" s="262"/>
      <c r="G26" s="107"/>
      <c r="H26" s="109"/>
      <c r="I26" s="264"/>
      <c r="J26" s="264"/>
      <c r="K26" s="107"/>
      <c r="L26" s="107"/>
      <c r="M26" s="108">
        <v>410</v>
      </c>
      <c r="N26" s="108">
        <f t="shared" si="4"/>
        <v>0</v>
      </c>
    </row>
    <row r="27" spans="1:15" ht="20.100000000000001" customHeight="1">
      <c r="A27" s="261">
        <v>21</v>
      </c>
      <c r="B27" s="262"/>
      <c r="C27" s="270"/>
      <c r="D27" s="270"/>
      <c r="E27" s="270"/>
      <c r="F27" s="262"/>
      <c r="G27" s="107"/>
      <c r="H27" s="109"/>
      <c r="I27" s="264"/>
      <c r="J27" s="264"/>
      <c r="K27" s="107"/>
      <c r="L27" s="107"/>
      <c r="M27" s="108">
        <v>410</v>
      </c>
      <c r="N27" s="108">
        <f t="shared" si="4"/>
        <v>0</v>
      </c>
    </row>
    <row r="28" spans="1:15" ht="20.100000000000001" customHeight="1">
      <c r="A28" s="261">
        <v>22</v>
      </c>
      <c r="B28" s="262"/>
      <c r="C28" s="270"/>
      <c r="D28" s="271"/>
      <c r="E28" s="270"/>
      <c r="F28" s="262"/>
      <c r="G28" s="107"/>
      <c r="H28" s="109"/>
      <c r="I28" s="264"/>
      <c r="J28" s="264"/>
      <c r="K28" s="107"/>
      <c r="L28" s="107"/>
      <c r="M28" s="108">
        <v>410</v>
      </c>
      <c r="N28" s="108">
        <f t="shared" si="4"/>
        <v>0</v>
      </c>
    </row>
    <row r="29" spans="1:15" ht="20.100000000000001" customHeight="1">
      <c r="A29" s="261">
        <v>22</v>
      </c>
      <c r="B29" s="262"/>
      <c r="C29" s="270"/>
      <c r="D29" s="271"/>
      <c r="E29" s="270"/>
      <c r="F29" s="262"/>
      <c r="G29" s="107"/>
      <c r="H29" s="109"/>
      <c r="I29" s="264"/>
      <c r="J29" s="264"/>
      <c r="K29" s="107"/>
      <c r="L29" s="107"/>
      <c r="M29" s="108">
        <v>410</v>
      </c>
      <c r="N29" s="108">
        <f t="shared" si="4"/>
        <v>0</v>
      </c>
    </row>
    <row r="30" spans="1:15" ht="20.100000000000001" customHeight="1">
      <c r="A30" s="261">
        <v>22</v>
      </c>
      <c r="B30" s="262"/>
      <c r="C30" s="270"/>
      <c r="D30" s="271"/>
      <c r="E30" s="270"/>
      <c r="F30" s="262"/>
      <c r="G30" s="107"/>
      <c r="H30" s="109"/>
      <c r="I30" s="264"/>
      <c r="J30" s="264"/>
      <c r="K30" s="107"/>
      <c r="L30" s="264" t="s">
        <v>77</v>
      </c>
      <c r="M30" s="108">
        <v>410</v>
      </c>
      <c r="N30" s="108">
        <f t="shared" si="4"/>
        <v>0</v>
      </c>
      <c r="O30" s="266" t="s">
        <v>165</v>
      </c>
    </row>
    <row r="31" spans="1:15" ht="20.100000000000001" customHeight="1">
      <c r="A31" s="261">
        <v>22</v>
      </c>
      <c r="B31" s="262"/>
      <c r="C31" s="270"/>
      <c r="D31" s="271"/>
      <c r="E31" s="270"/>
      <c r="F31" s="262"/>
      <c r="G31" s="107"/>
      <c r="H31" s="109"/>
      <c r="I31" s="264"/>
      <c r="J31" s="264"/>
      <c r="K31" s="107"/>
      <c r="L31" s="264" t="s">
        <v>77</v>
      </c>
      <c r="M31" s="108">
        <v>410</v>
      </c>
      <c r="N31" s="108">
        <f t="shared" si="4"/>
        <v>0</v>
      </c>
      <c r="O31" s="266" t="s">
        <v>165</v>
      </c>
    </row>
    <row r="32" spans="1:15" ht="20.100000000000001" customHeight="1">
      <c r="A32" s="261">
        <v>16</v>
      </c>
      <c r="B32" s="265"/>
      <c r="C32" s="270"/>
      <c r="D32" s="271"/>
      <c r="E32" s="270"/>
      <c r="F32" s="262"/>
      <c r="G32" s="263"/>
      <c r="H32" s="109"/>
      <c r="I32" s="264"/>
      <c r="J32" s="264"/>
      <c r="K32" s="107"/>
      <c r="L32" s="107"/>
      <c r="M32" s="108">
        <v>410</v>
      </c>
      <c r="N32" s="108">
        <f t="shared" ref="N32:N34" si="5">M32*G32</f>
        <v>0</v>
      </c>
    </row>
    <row r="33" spans="1:14" ht="20.100000000000001" customHeight="1">
      <c r="A33" s="261">
        <v>16</v>
      </c>
      <c r="B33" s="262"/>
      <c r="C33" s="270"/>
      <c r="D33" s="271"/>
      <c r="E33" s="270"/>
      <c r="F33" s="262"/>
      <c r="G33" s="263"/>
      <c r="H33" s="109"/>
      <c r="I33" s="264"/>
      <c r="J33" s="264"/>
      <c r="K33" s="107"/>
      <c r="L33" s="107"/>
      <c r="M33" s="108">
        <v>410</v>
      </c>
      <c r="N33" s="108">
        <f t="shared" si="5"/>
        <v>0</v>
      </c>
    </row>
    <row r="34" spans="1:14" ht="20.100000000000001" customHeight="1">
      <c r="A34" s="261">
        <v>16</v>
      </c>
      <c r="B34" s="262"/>
      <c r="C34" s="270"/>
      <c r="D34" s="271"/>
      <c r="E34" s="270"/>
      <c r="F34" s="262"/>
      <c r="G34" s="263"/>
      <c r="H34" s="109"/>
      <c r="I34" s="264"/>
      <c r="J34" s="264"/>
      <c r="K34" s="107"/>
      <c r="L34" s="107"/>
      <c r="M34" s="108">
        <v>410</v>
      </c>
      <c r="N34" s="108">
        <f t="shared" si="5"/>
        <v>0</v>
      </c>
    </row>
    <row r="35" spans="1:14" ht="20.100000000000001" customHeight="1">
      <c r="A35" s="283" t="s">
        <v>166</v>
      </c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5"/>
      <c r="N35" s="110">
        <f>SUM(N7:N25)</f>
        <v>0</v>
      </c>
    </row>
    <row r="36" spans="1:14" ht="20.100000000000001" customHeight="1">
      <c r="B36" s="111"/>
      <c r="C36" s="272"/>
      <c r="D36" s="272"/>
      <c r="E36" s="272"/>
      <c r="F36" s="111"/>
      <c r="H36" s="111"/>
    </row>
    <row r="37" spans="1:14" ht="20.100000000000001" customHeight="1">
      <c r="B37" s="111"/>
      <c r="C37" s="272"/>
      <c r="D37" s="272"/>
      <c r="E37" s="272"/>
      <c r="F37" s="111"/>
      <c r="H37" s="111"/>
    </row>
    <row r="38" spans="1:14" ht="20.100000000000001" customHeight="1">
      <c r="B38" s="111"/>
      <c r="C38" s="272"/>
      <c r="D38" s="272"/>
      <c r="E38" s="272"/>
      <c r="F38" s="111"/>
      <c r="H38" s="111"/>
    </row>
    <row r="39" spans="1:14" ht="20.100000000000001" customHeight="1">
      <c r="B39" s="111"/>
      <c r="C39" s="272"/>
      <c r="D39" s="272"/>
      <c r="E39" s="272"/>
      <c r="F39" s="111"/>
      <c r="H39" s="111"/>
    </row>
    <row r="40" spans="1:14" ht="20.100000000000001" customHeight="1">
      <c r="B40" s="111"/>
      <c r="C40" s="272"/>
      <c r="D40" s="272"/>
      <c r="E40" s="272"/>
      <c r="F40" s="111"/>
      <c r="H40" s="111"/>
    </row>
    <row r="41" spans="1:14" ht="20.100000000000001" customHeight="1">
      <c r="B41" s="111"/>
      <c r="C41" s="272"/>
      <c r="D41" s="272"/>
      <c r="E41" s="272"/>
      <c r="F41" s="111"/>
      <c r="H41" s="111"/>
    </row>
    <row r="42" spans="1:14" ht="20.100000000000001" customHeight="1">
      <c r="B42" s="111"/>
      <c r="C42" s="272"/>
      <c r="D42" s="272"/>
      <c r="E42" s="272"/>
      <c r="F42" s="111"/>
      <c r="H42" s="111"/>
    </row>
    <row r="43" spans="1:14" ht="20.100000000000001" customHeight="1">
      <c r="B43" s="111"/>
      <c r="C43" s="272"/>
      <c r="D43" s="272"/>
      <c r="E43" s="272"/>
      <c r="F43" s="111"/>
      <c r="H43" s="111"/>
    </row>
    <row r="44" spans="1:14" ht="20.100000000000001" customHeight="1">
      <c r="B44" s="111"/>
      <c r="C44" s="272"/>
      <c r="D44" s="272"/>
      <c r="E44" s="272"/>
      <c r="F44" s="111"/>
      <c r="H44" s="111"/>
    </row>
    <row r="45" spans="1:14" ht="20.100000000000001" customHeight="1">
      <c r="B45" s="111"/>
      <c r="C45" s="272"/>
      <c r="D45" s="272"/>
      <c r="E45" s="272"/>
      <c r="F45" s="111"/>
      <c r="H45" s="111"/>
    </row>
    <row r="46" spans="1:14" ht="20.100000000000001" customHeight="1">
      <c r="B46" s="111"/>
      <c r="C46" s="272"/>
      <c r="D46" s="272"/>
      <c r="E46" s="272"/>
      <c r="F46" s="111"/>
      <c r="H46" s="111"/>
    </row>
  </sheetData>
  <mergeCells count="13">
    <mergeCell ref="A35:M35"/>
    <mergeCell ref="A4:B4"/>
    <mergeCell ref="C4:E4"/>
    <mergeCell ref="A5:B5"/>
    <mergeCell ref="G4:I4"/>
    <mergeCell ref="C5:N5"/>
    <mergeCell ref="A2:B2"/>
    <mergeCell ref="C2:E2"/>
    <mergeCell ref="A3:B3"/>
    <mergeCell ref="C3:E3"/>
    <mergeCell ref="A1:N1"/>
    <mergeCell ref="G2:I2"/>
    <mergeCell ref="G3:I3"/>
  </mergeCells>
  <pageMargins left="0.70866141732283472" right="0.70866141732283472" top="0.74803149606299213" bottom="0.74803149606299213" header="0.31496062992125984" footer="0.31496062992125984"/>
  <pageSetup paperSize="9" scale="6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workbookViewId="0">
      <selection activeCell="B9" sqref="B9"/>
    </sheetView>
  </sheetViews>
  <sheetFormatPr defaultRowHeight="15"/>
  <cols>
    <col min="1" max="1" width="6.5703125" customWidth="1"/>
    <col min="2" max="2" width="14.85546875" customWidth="1"/>
    <col min="3" max="3" width="6" customWidth="1"/>
    <col min="4" max="4" width="5.85546875" customWidth="1"/>
    <col min="9" max="10" width="2.85546875" customWidth="1"/>
    <col min="11" max="11" width="4.42578125" customWidth="1"/>
    <col min="12" max="12" width="11.28515625" customWidth="1"/>
    <col min="13" max="13" width="2.7109375" customWidth="1"/>
    <col min="14" max="14" width="7.5703125" customWidth="1"/>
    <col min="16" max="16" width="3" customWidth="1"/>
    <col min="17" max="17" width="4" bestFit="1" customWidth="1"/>
    <col min="18" max="18" width="5" customWidth="1"/>
    <col min="28" max="28" width="5" customWidth="1"/>
  </cols>
  <sheetData/>
  <pageMargins left="0.70866141732283472" right="0.70866141732283472" top="0.74803149606299213" bottom="0.74803149606299213" header="0.31496062992125984" footer="0.31496062992125984"/>
  <pageSetup paperSize="9" scale="64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"/>
  <sheetViews>
    <sheetView workbookViewId="0">
      <selection activeCell="A7" sqref="A7"/>
    </sheetView>
  </sheetViews>
  <sheetFormatPr defaultRowHeight="15"/>
  <cols>
    <col min="1" max="1" width="13.42578125" bestFit="1" customWidth="1"/>
    <col min="2" max="2" width="12.42578125" customWidth="1"/>
    <col min="3" max="3" width="9.140625" style="2"/>
    <col min="5" max="5" width="3.5703125" customWidth="1"/>
    <col min="6" max="6" width="26.85546875" style="2" customWidth="1"/>
    <col min="7" max="7" width="3.42578125" customWidth="1"/>
    <col min="9" max="9" width="4" customWidth="1"/>
    <col min="10" max="10" width="11.7109375" customWidth="1"/>
    <col min="11" max="11" width="3.85546875" customWidth="1"/>
    <col min="12" max="12" width="13.5703125" customWidth="1"/>
    <col min="13" max="13" width="4.140625" customWidth="1"/>
    <col min="15" max="15" width="4" customWidth="1"/>
  </cols>
  <sheetData>
    <row r="1" spans="1:15">
      <c r="A1" t="s">
        <v>107</v>
      </c>
      <c r="B1">
        <v>560</v>
      </c>
    </row>
    <row r="2" spans="1:15">
      <c r="A2" t="s">
        <v>105</v>
      </c>
      <c r="B2">
        <v>984</v>
      </c>
      <c r="C2" s="143">
        <v>0</v>
      </c>
    </row>
    <row r="3" spans="1:15">
      <c r="A3" t="s">
        <v>106</v>
      </c>
      <c r="B3">
        <v>984</v>
      </c>
      <c r="C3" s="143">
        <v>0</v>
      </c>
    </row>
    <row r="4" spans="1:15">
      <c r="A4" t="s">
        <v>34</v>
      </c>
      <c r="B4">
        <v>2500</v>
      </c>
      <c r="C4" s="143">
        <v>3</v>
      </c>
    </row>
    <row r="5" spans="1:15">
      <c r="A5" t="s">
        <v>44</v>
      </c>
      <c r="B5">
        <v>1800</v>
      </c>
      <c r="C5" s="2">
        <v>100</v>
      </c>
      <c r="D5">
        <v>3</v>
      </c>
      <c r="H5" t="s">
        <v>92</v>
      </c>
      <c r="J5" t="s">
        <v>92</v>
      </c>
      <c r="L5" t="s">
        <v>92</v>
      </c>
      <c r="N5" t="s">
        <v>92</v>
      </c>
    </row>
    <row r="6" spans="1:15">
      <c r="A6" t="s">
        <v>44</v>
      </c>
      <c r="B6">
        <v>520</v>
      </c>
      <c r="C6" s="2">
        <v>100</v>
      </c>
      <c r="D6">
        <v>7</v>
      </c>
      <c r="F6" s="2">
        <v>496</v>
      </c>
      <c r="H6">
        <v>496</v>
      </c>
      <c r="J6">
        <f>H6</f>
        <v>496</v>
      </c>
      <c r="L6">
        <f>J6</f>
        <v>496</v>
      </c>
      <c r="N6">
        <f>L6</f>
        <v>496</v>
      </c>
    </row>
    <row r="7" spans="1:15">
      <c r="E7" s="49"/>
      <c r="G7" s="49"/>
      <c r="I7" s="49"/>
      <c r="K7" s="49"/>
      <c r="M7" s="49"/>
      <c r="O7" s="49"/>
    </row>
    <row r="8" spans="1:15">
      <c r="C8" s="2">
        <f>B12-C9-C10</f>
        <v>634</v>
      </c>
      <c r="E8" s="130"/>
      <c r="G8" s="130"/>
      <c r="I8" s="130"/>
      <c r="K8" s="130"/>
      <c r="M8" s="130"/>
      <c r="O8" s="130"/>
    </row>
    <row r="9" spans="1:15">
      <c r="C9" s="2">
        <v>16</v>
      </c>
      <c r="E9" s="130"/>
      <c r="F9" s="129"/>
      <c r="G9" s="130"/>
      <c r="H9" s="131"/>
      <c r="I9" s="130"/>
      <c r="K9" s="130"/>
      <c r="M9" s="130"/>
      <c r="O9" s="130"/>
    </row>
    <row r="10" spans="1:15">
      <c r="C10" s="2">
        <v>1800</v>
      </c>
      <c r="E10" s="130"/>
      <c r="G10" s="130"/>
      <c r="H10">
        <f>H14</f>
        <v>344</v>
      </c>
      <c r="I10" s="130"/>
      <c r="J10">
        <f>SUM(H10:H19)</f>
        <v>1800</v>
      </c>
      <c r="K10" s="130"/>
      <c r="M10" s="130"/>
      <c r="O10" s="130"/>
    </row>
    <row r="11" spans="1:15">
      <c r="E11" s="130"/>
      <c r="G11" s="130"/>
      <c r="H11" s="131">
        <v>16</v>
      </c>
      <c r="I11" s="130"/>
      <c r="K11" s="130"/>
      <c r="M11" s="130"/>
      <c r="O11" s="130"/>
    </row>
    <row r="12" spans="1:15">
      <c r="B12">
        <v>2450</v>
      </c>
      <c r="E12" s="130"/>
      <c r="G12" s="130"/>
      <c r="H12">
        <f>H14</f>
        <v>344</v>
      </c>
      <c r="I12" s="130"/>
      <c r="J12">
        <f>SUM(H12:H19)</f>
        <v>1440</v>
      </c>
      <c r="K12" s="130"/>
      <c r="M12" s="130"/>
      <c r="O12" s="130"/>
    </row>
    <row r="13" spans="1:15">
      <c r="E13" s="130"/>
      <c r="G13" s="130"/>
      <c r="H13" s="131">
        <v>16</v>
      </c>
      <c r="I13" s="130"/>
      <c r="K13" s="130"/>
      <c r="M13" s="130"/>
      <c r="O13" s="130"/>
    </row>
    <row r="14" spans="1:15" ht="32.25" customHeight="1">
      <c r="E14" s="130"/>
      <c r="G14" s="130"/>
      <c r="H14">
        <f>(C10-(16*5))/5</f>
        <v>344</v>
      </c>
      <c r="I14" s="130"/>
      <c r="J14">
        <f>SUM(H14:H19)</f>
        <v>1080</v>
      </c>
      <c r="K14" s="130"/>
      <c r="M14" s="130"/>
      <c r="O14" s="130"/>
    </row>
    <row r="15" spans="1:15">
      <c r="E15" s="130"/>
      <c r="G15" s="130"/>
      <c r="H15" s="131">
        <v>16</v>
      </c>
      <c r="I15" s="130"/>
      <c r="K15" s="130"/>
      <c r="M15" s="130"/>
      <c r="O15" s="130"/>
    </row>
    <row r="16" spans="1:15">
      <c r="E16" s="130"/>
      <c r="G16" s="130"/>
      <c r="H16">
        <f>H14</f>
        <v>344</v>
      </c>
      <c r="I16" s="130"/>
      <c r="J16">
        <f>SUM(H16:H19)</f>
        <v>720</v>
      </c>
      <c r="K16" s="130"/>
      <c r="M16" s="130"/>
      <c r="O16" s="130"/>
    </row>
    <row r="17" spans="1:17">
      <c r="E17" s="130"/>
      <c r="G17" s="130"/>
      <c r="H17" s="131">
        <v>16</v>
      </c>
      <c r="I17" s="130"/>
      <c r="K17" s="130"/>
      <c r="M17" s="130"/>
      <c r="O17" s="130"/>
    </row>
    <row r="18" spans="1:17">
      <c r="E18" s="130"/>
      <c r="G18" s="130"/>
      <c r="H18">
        <f>H14</f>
        <v>344</v>
      </c>
      <c r="I18" s="130"/>
      <c r="J18">
        <f>SUM(H18:H19)</f>
        <v>360</v>
      </c>
      <c r="K18" s="130"/>
      <c r="M18" s="130"/>
      <c r="O18" s="130"/>
    </row>
    <row r="19" spans="1:17">
      <c r="E19" s="52"/>
      <c r="F19" s="129"/>
      <c r="G19" s="52"/>
      <c r="H19" s="131">
        <f>H15</f>
        <v>16</v>
      </c>
      <c r="I19" s="52"/>
      <c r="J19" s="3"/>
      <c r="K19" s="52"/>
      <c r="L19" s="3"/>
      <c r="M19" s="52"/>
      <c r="N19" s="3"/>
      <c r="O19" s="52"/>
    </row>
    <row r="20" spans="1:17">
      <c r="B20">
        <v>80</v>
      </c>
    </row>
    <row r="21" spans="1:17">
      <c r="E21">
        <v>16</v>
      </c>
      <c r="F21" s="2">
        <f>(F6*2)-6</f>
        <v>986</v>
      </c>
      <c r="G21">
        <v>16</v>
      </c>
      <c r="H21">
        <f>H6-10</f>
        <v>486</v>
      </c>
      <c r="I21">
        <v>16</v>
      </c>
      <c r="J21">
        <f>J6-10</f>
        <v>486</v>
      </c>
      <c r="K21">
        <v>16</v>
      </c>
      <c r="Q21">
        <f>SUM(C21:P21)</f>
        <v>2022</v>
      </c>
    </row>
    <row r="26" spans="1:17">
      <c r="L26">
        <f>2900/6</f>
        <v>483.33333333333331</v>
      </c>
    </row>
    <row r="27" spans="1:17">
      <c r="F27" s="2">
        <v>988</v>
      </c>
      <c r="H27">
        <v>486</v>
      </c>
    </row>
    <row r="28" spans="1:17">
      <c r="F28" s="2">
        <v>496</v>
      </c>
      <c r="H28">
        <v>496</v>
      </c>
    </row>
    <row r="29" spans="1:17">
      <c r="F29" s="2">
        <v>496</v>
      </c>
    </row>
    <row r="30" spans="1:17">
      <c r="A30" t="s">
        <v>93</v>
      </c>
      <c r="B30" s="132">
        <v>2600</v>
      </c>
    </row>
    <row r="31" spans="1:17">
      <c r="H31" t="s">
        <v>92</v>
      </c>
      <c r="J31" t="s">
        <v>92</v>
      </c>
      <c r="L31" t="s">
        <v>92</v>
      </c>
      <c r="N31" t="s">
        <v>92</v>
      </c>
    </row>
    <row r="32" spans="1:17">
      <c r="A32" t="s">
        <v>94</v>
      </c>
      <c r="B32" s="133">
        <f>B30-B41-B49</f>
        <v>70</v>
      </c>
      <c r="C32" s="134" t="s">
        <v>95</v>
      </c>
      <c r="F32" s="2">
        <f>446*2</f>
        <v>892</v>
      </c>
      <c r="H32">
        <v>446</v>
      </c>
      <c r="J32">
        <f>H32</f>
        <v>446</v>
      </c>
      <c r="L32">
        <f>J32</f>
        <v>446</v>
      </c>
      <c r="N32">
        <f>L32</f>
        <v>446</v>
      </c>
    </row>
    <row r="33" spans="1:23">
      <c r="B33" s="133"/>
      <c r="C33" s="134"/>
      <c r="F33" s="2" t="s">
        <v>96</v>
      </c>
    </row>
    <row r="34" spans="1:23">
      <c r="A34" t="s">
        <v>97</v>
      </c>
      <c r="B34" s="132">
        <v>50</v>
      </c>
      <c r="C34" s="135">
        <f>B34+B32+20</f>
        <v>140</v>
      </c>
      <c r="D34" s="133">
        <f>B34</f>
        <v>50</v>
      </c>
      <c r="E34" s="136"/>
      <c r="F34" s="137">
        <f>B49+B41-B34</f>
        <v>2480</v>
      </c>
      <c r="G34" s="138"/>
      <c r="I34" s="49"/>
      <c r="K34" s="49"/>
      <c r="M34" s="49"/>
      <c r="O34" s="49"/>
    </row>
    <row r="35" spans="1:23">
      <c r="D35">
        <v>16</v>
      </c>
      <c r="E35" s="139"/>
      <c r="F35" s="53" t="s">
        <v>98</v>
      </c>
      <c r="G35" s="140"/>
      <c r="I35" s="130"/>
      <c r="K35" s="130"/>
      <c r="M35" s="130"/>
      <c r="O35" s="130"/>
    </row>
    <row r="36" spans="1:23">
      <c r="D36">
        <f>B41-D34-D35</f>
        <v>2384</v>
      </c>
      <c r="E36" s="130"/>
      <c r="G36" s="130"/>
      <c r="I36" s="130"/>
      <c r="K36" s="130"/>
      <c r="M36" s="130"/>
      <c r="O36" s="130"/>
    </row>
    <row r="37" spans="1:23">
      <c r="C37" s="2">
        <f>B41-C38-C39</f>
        <v>574</v>
      </c>
      <c r="D37" s="291" t="s">
        <v>99</v>
      </c>
      <c r="E37" s="130"/>
      <c r="G37" s="130"/>
      <c r="I37" s="130"/>
      <c r="K37" s="130"/>
      <c r="M37" s="130"/>
      <c r="O37" s="130"/>
    </row>
    <row r="38" spans="1:23">
      <c r="C38" s="2">
        <v>16</v>
      </c>
      <c r="D38" s="291"/>
      <c r="E38" s="130"/>
      <c r="F38" s="129"/>
      <c r="G38" s="130"/>
      <c r="H38" s="141"/>
      <c r="I38" s="130"/>
      <c r="K38" s="130"/>
      <c r="M38" s="130"/>
      <c r="O38" s="130"/>
    </row>
    <row r="39" spans="1:23">
      <c r="C39" s="2">
        <v>1860</v>
      </c>
      <c r="D39" s="291"/>
      <c r="E39" s="130"/>
      <c r="G39" s="130"/>
      <c r="H39" s="133">
        <f>H43</f>
        <v>449</v>
      </c>
      <c r="I39" s="130"/>
      <c r="J39" s="142" t="s">
        <v>100</v>
      </c>
      <c r="K39" s="130"/>
      <c r="M39" s="130"/>
      <c r="O39" s="130"/>
    </row>
    <row r="40" spans="1:23">
      <c r="B40" t="s">
        <v>101</v>
      </c>
      <c r="C40" s="292" t="s">
        <v>102</v>
      </c>
      <c r="D40" s="291"/>
      <c r="E40" s="130"/>
      <c r="G40" s="130"/>
      <c r="H40" s="141">
        <v>16</v>
      </c>
      <c r="I40" s="130"/>
      <c r="K40" s="130"/>
      <c r="M40" s="130"/>
      <c r="O40" s="130"/>
    </row>
    <row r="41" spans="1:23">
      <c r="A41" t="s">
        <v>103</v>
      </c>
      <c r="B41" s="132">
        <v>2450</v>
      </c>
      <c r="C41" s="292"/>
      <c r="D41" s="291"/>
      <c r="E41" s="130"/>
      <c r="G41" s="130"/>
      <c r="H41" s="133">
        <f>H43</f>
        <v>449</v>
      </c>
      <c r="I41" s="130"/>
      <c r="K41" s="130"/>
      <c r="M41" s="130"/>
      <c r="O41" s="130"/>
      <c r="V41">
        <v>2450</v>
      </c>
      <c r="W41">
        <v>70</v>
      </c>
    </row>
    <row r="42" spans="1:23">
      <c r="C42" s="292"/>
      <c r="D42" s="291"/>
      <c r="E42" s="130"/>
      <c r="G42" s="130"/>
      <c r="H42" s="141">
        <v>16</v>
      </c>
      <c r="I42" s="130"/>
      <c r="K42" s="130"/>
      <c r="M42" s="130"/>
      <c r="O42" s="130"/>
      <c r="T42">
        <v>2450</v>
      </c>
      <c r="U42">
        <v>2400</v>
      </c>
      <c r="V42">
        <f>U42-16</f>
        <v>2384</v>
      </c>
      <c r="W42">
        <v>50</v>
      </c>
    </row>
    <row r="43" spans="1:23">
      <c r="C43" s="292"/>
      <c r="D43" s="291"/>
      <c r="E43" s="130"/>
      <c r="G43" s="130"/>
      <c r="H43" s="133">
        <f>(C39-(16*4))/4</f>
        <v>449</v>
      </c>
      <c r="I43" s="130"/>
      <c r="K43" s="130"/>
      <c r="M43" s="130"/>
      <c r="O43" s="130"/>
    </row>
    <row r="44" spans="1:23">
      <c r="C44" s="292"/>
      <c r="D44" s="291"/>
      <c r="E44" s="130"/>
      <c r="G44" s="130"/>
      <c r="H44" s="141">
        <v>16</v>
      </c>
      <c r="I44" s="130"/>
      <c r="K44" s="130"/>
      <c r="M44" s="130"/>
      <c r="O44" s="130"/>
    </row>
    <row r="45" spans="1:23">
      <c r="C45" s="292"/>
      <c r="D45" s="291"/>
      <c r="E45" s="130"/>
      <c r="G45" s="130"/>
      <c r="H45" s="133">
        <f>H43</f>
        <v>449</v>
      </c>
      <c r="I45" s="130"/>
      <c r="K45" s="130"/>
      <c r="M45" s="130"/>
      <c r="O45" s="130"/>
    </row>
    <row r="46" spans="1:23">
      <c r="C46" s="292"/>
      <c r="D46" s="291"/>
      <c r="E46" s="130"/>
      <c r="G46" s="130"/>
      <c r="H46" s="141">
        <v>16</v>
      </c>
      <c r="I46" s="130"/>
      <c r="K46" s="130"/>
      <c r="M46" s="130"/>
      <c r="O46" s="130"/>
    </row>
    <row r="47" spans="1:23">
      <c r="C47" s="292"/>
      <c r="D47" s="291"/>
      <c r="E47" s="130"/>
      <c r="G47" s="130"/>
      <c r="H47" s="133">
        <f>H43</f>
        <v>449</v>
      </c>
      <c r="I47" s="130"/>
      <c r="K47" s="130"/>
      <c r="M47" s="130"/>
      <c r="O47" s="130"/>
    </row>
    <row r="48" spans="1:23">
      <c r="C48" s="292"/>
      <c r="D48" s="291"/>
      <c r="E48" s="52"/>
      <c r="F48" s="129"/>
      <c r="G48" s="52"/>
      <c r="H48" s="141">
        <f>H44</f>
        <v>16</v>
      </c>
      <c r="I48" s="52"/>
      <c r="J48" s="3"/>
      <c r="K48" s="52"/>
      <c r="L48" s="3"/>
      <c r="M48" s="52"/>
      <c r="N48" s="3"/>
      <c r="O48" s="52"/>
    </row>
    <row r="49" spans="1:21">
      <c r="A49" t="s">
        <v>44</v>
      </c>
      <c r="B49" s="132">
        <v>80</v>
      </c>
    </row>
    <row r="50" spans="1:21">
      <c r="C50" s="2">
        <v>0</v>
      </c>
      <c r="F50" s="135">
        <f>F32-8</f>
        <v>884</v>
      </c>
      <c r="G50">
        <v>16</v>
      </c>
      <c r="H50" s="133">
        <f>H32-10</f>
        <v>436</v>
      </c>
      <c r="I50">
        <v>16</v>
      </c>
      <c r="J50" s="133">
        <f>J32-10</f>
        <v>436</v>
      </c>
      <c r="K50">
        <v>16</v>
      </c>
      <c r="L50" s="133">
        <f>L32-10</f>
        <v>436</v>
      </c>
      <c r="M50">
        <v>16</v>
      </c>
      <c r="N50" s="133">
        <f>N32-10</f>
        <v>436</v>
      </c>
      <c r="O50">
        <v>16</v>
      </c>
      <c r="P50">
        <v>0</v>
      </c>
      <c r="Q50">
        <f>SUM(C50:P50)</f>
        <v>2708</v>
      </c>
      <c r="T50">
        <v>80</v>
      </c>
      <c r="U50">
        <v>80</v>
      </c>
    </row>
    <row r="55" spans="1:21">
      <c r="L55">
        <f>2900/6</f>
        <v>483.33333333333331</v>
      </c>
    </row>
    <row r="56" spans="1:21">
      <c r="F56" s="2">
        <v>988</v>
      </c>
      <c r="H56">
        <v>486</v>
      </c>
    </row>
    <row r="57" spans="1:21">
      <c r="F57" s="2">
        <v>496</v>
      </c>
      <c r="H57">
        <v>496</v>
      </c>
    </row>
    <row r="58" spans="1:21">
      <c r="F58" s="2">
        <v>496</v>
      </c>
    </row>
    <row r="62" spans="1:21">
      <c r="F62" s="2">
        <f>500/3.5</f>
        <v>142.85714285714286</v>
      </c>
    </row>
    <row r="65" spans="1:1">
      <c r="A65" t="s">
        <v>104</v>
      </c>
    </row>
  </sheetData>
  <mergeCells count="2">
    <mergeCell ref="D37:D48"/>
    <mergeCell ref="C40:C4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H36"/>
  <sheetViews>
    <sheetView workbookViewId="0">
      <selection activeCell="J20" sqref="J20"/>
    </sheetView>
  </sheetViews>
  <sheetFormatPr defaultRowHeight="15"/>
  <sheetData>
    <row r="13" spans="1:8" ht="25.5" customHeight="1" thickBot="1">
      <c r="A13">
        <v>35</v>
      </c>
      <c r="B13" s="49"/>
      <c r="C13" s="179"/>
      <c r="D13" s="179"/>
      <c r="E13" s="179"/>
      <c r="F13" s="179"/>
      <c r="G13" s="49"/>
      <c r="H13">
        <v>57</v>
      </c>
    </row>
    <row r="14" spans="1:8" ht="11.25" customHeight="1">
      <c r="B14" s="180"/>
      <c r="C14" s="181"/>
      <c r="D14" s="60"/>
      <c r="E14" s="60"/>
      <c r="F14" s="182"/>
      <c r="G14" s="183"/>
    </row>
    <row r="15" spans="1:8">
      <c r="B15" s="184"/>
      <c r="C15" s="8"/>
      <c r="D15" s="8"/>
      <c r="E15" s="8"/>
      <c r="F15" s="8"/>
      <c r="G15" s="185"/>
    </row>
    <row r="16" spans="1:8">
      <c r="A16">
        <v>177</v>
      </c>
      <c r="B16" s="184"/>
      <c r="C16" s="8"/>
      <c r="D16" s="8"/>
      <c r="E16" s="8"/>
      <c r="F16" s="8"/>
      <c r="G16" s="185"/>
    </row>
    <row r="17" spans="1:8">
      <c r="B17" s="184"/>
      <c r="C17" s="8"/>
      <c r="D17" s="8"/>
      <c r="E17" s="8"/>
      <c r="F17" s="8"/>
      <c r="G17" s="185"/>
    </row>
    <row r="18" spans="1:8">
      <c r="B18" s="184"/>
      <c r="C18" s="8"/>
      <c r="D18" s="8"/>
      <c r="E18" s="8"/>
      <c r="F18" s="8"/>
      <c r="G18" s="185"/>
    </row>
    <row r="19" spans="1:8" ht="15.75" thickBot="1">
      <c r="B19" s="186"/>
      <c r="C19" s="15"/>
      <c r="D19" s="15"/>
      <c r="E19" s="15"/>
      <c r="F19" s="15"/>
      <c r="G19" s="187"/>
    </row>
    <row r="20" spans="1:8">
      <c r="A20">
        <v>2</v>
      </c>
      <c r="B20" s="180"/>
      <c r="C20" s="10"/>
      <c r="D20" s="10"/>
      <c r="E20" s="10"/>
      <c r="F20" s="10"/>
      <c r="G20" s="183"/>
    </row>
    <row r="21" spans="1:8">
      <c r="B21" s="184"/>
      <c r="C21" s="8"/>
      <c r="D21" s="8"/>
      <c r="E21" s="8"/>
      <c r="F21" s="8"/>
      <c r="G21" s="185"/>
    </row>
    <row r="22" spans="1:8">
      <c r="A22">
        <v>177</v>
      </c>
      <c r="B22" s="184"/>
      <c r="C22" s="8"/>
      <c r="D22" s="8"/>
      <c r="E22" s="8"/>
      <c r="F22" s="8"/>
      <c r="G22" s="185"/>
    </row>
    <row r="23" spans="1:8">
      <c r="B23" s="184"/>
      <c r="C23" s="8"/>
      <c r="D23" s="8"/>
      <c r="E23" s="8"/>
      <c r="F23" s="8"/>
      <c r="G23" s="185"/>
    </row>
    <row r="24" spans="1:8" ht="8.25" customHeight="1" thickBot="1">
      <c r="B24" s="186"/>
      <c r="C24" s="188"/>
      <c r="D24" s="189"/>
      <c r="E24" s="189"/>
      <c r="F24" s="190"/>
      <c r="G24" s="187"/>
    </row>
    <row r="25" spans="1:8" ht="28.5" customHeight="1" thickBot="1">
      <c r="A25">
        <v>35</v>
      </c>
      <c r="B25" s="130"/>
      <c r="C25" s="139"/>
      <c r="D25" s="8"/>
      <c r="E25" s="8"/>
      <c r="F25" s="140"/>
      <c r="G25" s="130"/>
      <c r="H25">
        <v>74</v>
      </c>
    </row>
    <row r="26" spans="1:8" ht="9" customHeight="1">
      <c r="B26" s="180">
        <f>+(H25-A25)/2</f>
        <v>19.5</v>
      </c>
      <c r="C26" s="181"/>
      <c r="D26" s="60"/>
      <c r="E26" s="60"/>
      <c r="F26" s="182"/>
      <c r="G26" s="183"/>
      <c r="H26" s="216"/>
    </row>
    <row r="27" spans="1:8">
      <c r="B27" s="184"/>
      <c r="C27" s="8"/>
      <c r="D27" s="8"/>
      <c r="E27" s="8"/>
      <c r="F27" s="8"/>
      <c r="G27" s="185"/>
    </row>
    <row r="28" spans="1:8">
      <c r="B28" s="184"/>
      <c r="C28" s="8"/>
      <c r="D28" s="8"/>
      <c r="E28" s="8"/>
      <c r="F28" s="8"/>
      <c r="G28" s="185"/>
    </row>
    <row r="29" spans="1:8">
      <c r="B29" s="184"/>
      <c r="C29" s="8"/>
      <c r="D29" s="8"/>
      <c r="E29" s="8"/>
      <c r="F29" s="8"/>
      <c r="G29" s="185"/>
    </row>
    <row r="30" spans="1:8">
      <c r="A30">
        <v>352</v>
      </c>
      <c r="B30" s="184"/>
      <c r="C30" s="8"/>
      <c r="D30" s="8"/>
      <c r="E30" s="8"/>
      <c r="F30" s="8"/>
      <c r="G30" s="185"/>
    </row>
    <row r="31" spans="1:8">
      <c r="B31" s="184"/>
      <c r="C31" s="8"/>
      <c r="D31" s="8"/>
      <c r="E31" s="8"/>
      <c r="F31" s="8"/>
      <c r="G31" s="185"/>
    </row>
    <row r="32" spans="1:8">
      <c r="B32" s="184"/>
      <c r="C32" s="8"/>
      <c r="D32" s="8"/>
      <c r="E32" s="8"/>
      <c r="F32" s="8"/>
      <c r="G32" s="185"/>
      <c r="H32">
        <f>+A36+A30-B26</f>
        <v>334.5</v>
      </c>
    </row>
    <row r="33" spans="1:7">
      <c r="B33" s="184"/>
      <c r="C33" s="8"/>
      <c r="D33" s="8"/>
      <c r="E33" s="8"/>
      <c r="F33" s="8"/>
      <c r="G33" s="185"/>
    </row>
    <row r="34" spans="1:7">
      <c r="B34" s="184"/>
      <c r="C34" s="8"/>
      <c r="D34" s="8"/>
      <c r="E34" s="8"/>
      <c r="F34" s="8"/>
      <c r="G34" s="185"/>
    </row>
    <row r="35" spans="1:7">
      <c r="B35" s="184"/>
      <c r="C35" s="8"/>
      <c r="D35" s="8"/>
      <c r="E35" s="8"/>
      <c r="F35" s="8"/>
      <c r="G35" s="185"/>
    </row>
    <row r="36" spans="1:7" ht="15.75" thickBot="1">
      <c r="A36">
        <v>2</v>
      </c>
      <c r="B36" s="186"/>
      <c r="C36" s="188"/>
      <c r="D36" s="189"/>
      <c r="E36" s="189"/>
      <c r="F36" s="190"/>
      <c r="G36" s="18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H18" sqref="H18"/>
    </sheetView>
  </sheetViews>
  <sheetFormatPr defaultRowHeight="15"/>
  <sheetData>
    <row r="1" spans="1:5" ht="15.75" thickBot="1">
      <c r="A1" t="s">
        <v>115</v>
      </c>
      <c r="D1" t="s">
        <v>116</v>
      </c>
    </row>
    <row r="2" spans="1:5">
      <c r="A2" s="9" t="s">
        <v>120</v>
      </c>
      <c r="B2" s="10"/>
      <c r="C2" s="23">
        <v>825</v>
      </c>
      <c r="D2" s="10">
        <v>2</v>
      </c>
      <c r="E2" s="11"/>
    </row>
    <row r="3" spans="1:5">
      <c r="A3" s="12" t="s">
        <v>106</v>
      </c>
      <c r="B3" s="8"/>
      <c r="C3" s="8">
        <f>+C2-32</f>
        <v>793</v>
      </c>
      <c r="D3" s="8" t="s">
        <v>117</v>
      </c>
      <c r="E3" s="13">
        <v>86</v>
      </c>
    </row>
    <row r="4" spans="1:5">
      <c r="A4" s="12" t="s">
        <v>118</v>
      </c>
      <c r="B4" s="8"/>
      <c r="C4" s="25">
        <v>500</v>
      </c>
      <c r="D4" s="8" t="s">
        <v>117</v>
      </c>
      <c r="E4" s="13">
        <v>24</v>
      </c>
    </row>
    <row r="5" spans="1:5">
      <c r="A5" s="12" t="s">
        <v>33</v>
      </c>
      <c r="B5" s="8"/>
      <c r="C5" s="8"/>
      <c r="D5" s="8" t="s">
        <v>117</v>
      </c>
      <c r="E5" s="13">
        <v>97</v>
      </c>
    </row>
    <row r="6" spans="1:5">
      <c r="A6" s="12"/>
      <c r="B6" s="8"/>
      <c r="C6" s="8"/>
      <c r="D6" s="8"/>
      <c r="E6" s="13"/>
    </row>
    <row r="7" spans="1:5">
      <c r="A7" s="12" t="s">
        <v>119</v>
      </c>
      <c r="B7" s="8"/>
      <c r="C7" s="8">
        <f>+C3-E3</f>
        <v>707</v>
      </c>
      <c r="D7" s="8">
        <f>+C4-E4</f>
        <v>476</v>
      </c>
      <c r="E7" s="13">
        <f>+D2</f>
        <v>2</v>
      </c>
    </row>
    <row r="8" spans="1:5">
      <c r="A8" s="12" t="s">
        <v>33</v>
      </c>
      <c r="B8" s="8"/>
      <c r="C8" s="8">
        <f>+C3-E5</f>
        <v>696</v>
      </c>
      <c r="D8" s="8">
        <v>135</v>
      </c>
      <c r="E8" s="13">
        <f>+E7</f>
        <v>2</v>
      </c>
    </row>
    <row r="9" spans="1:5" ht="15.75" thickBot="1">
      <c r="A9" s="14"/>
      <c r="B9" s="15"/>
      <c r="C9" s="15"/>
      <c r="D9" s="15"/>
      <c r="E9" s="16"/>
    </row>
    <row r="10" spans="1:5">
      <c r="A10" s="9" t="s">
        <v>120</v>
      </c>
      <c r="B10" s="10"/>
      <c r="C10" s="10">
        <v>700</v>
      </c>
      <c r="D10" s="10">
        <v>4</v>
      </c>
      <c r="E10" s="11"/>
    </row>
    <row r="11" spans="1:5">
      <c r="A11" s="12" t="s">
        <v>106</v>
      </c>
      <c r="B11" s="8"/>
      <c r="C11" s="8">
        <f>+C10-32</f>
        <v>668</v>
      </c>
      <c r="D11" s="8" t="s">
        <v>117</v>
      </c>
      <c r="E11" s="13">
        <v>86</v>
      </c>
    </row>
    <row r="12" spans="1:5">
      <c r="A12" s="12" t="s">
        <v>118</v>
      </c>
      <c r="B12" s="8"/>
      <c r="C12" s="25">
        <v>350</v>
      </c>
      <c r="D12" s="8" t="s">
        <v>117</v>
      </c>
      <c r="E12" s="13">
        <v>24</v>
      </c>
    </row>
    <row r="13" spans="1:5">
      <c r="A13" s="12" t="s">
        <v>33</v>
      </c>
      <c r="B13" s="8"/>
      <c r="C13" s="8"/>
      <c r="D13" s="8" t="s">
        <v>117</v>
      </c>
      <c r="E13" s="13">
        <v>97</v>
      </c>
    </row>
    <row r="14" spans="1:5">
      <c r="A14" s="12"/>
      <c r="B14" s="8"/>
      <c r="C14" s="8"/>
      <c r="D14" s="8"/>
      <c r="E14" s="13"/>
    </row>
    <row r="15" spans="1:5">
      <c r="A15" s="12" t="s">
        <v>119</v>
      </c>
      <c r="B15" s="8"/>
      <c r="C15" s="8">
        <f>+C11-E11</f>
        <v>582</v>
      </c>
      <c r="D15" s="8">
        <f>+C12-E12</f>
        <v>326</v>
      </c>
      <c r="E15" s="13">
        <f>+D10</f>
        <v>4</v>
      </c>
    </row>
    <row r="16" spans="1:5">
      <c r="A16" s="12" t="s">
        <v>33</v>
      </c>
      <c r="B16" s="8"/>
      <c r="C16" s="8">
        <f>+C11-E13</f>
        <v>571</v>
      </c>
      <c r="D16" s="8">
        <v>96</v>
      </c>
      <c r="E16" s="13">
        <f>+E15</f>
        <v>4</v>
      </c>
    </row>
    <row r="17" spans="1:5" ht="15.75" thickBot="1">
      <c r="A17" s="14"/>
      <c r="B17" s="15"/>
      <c r="C17" s="15"/>
      <c r="D17" s="15"/>
      <c r="E17" s="16"/>
    </row>
    <row r="18" spans="1:5">
      <c r="A18" s="9" t="s">
        <v>121</v>
      </c>
      <c r="B18" s="10"/>
      <c r="C18" s="10">
        <v>700</v>
      </c>
      <c r="D18" s="10">
        <v>4</v>
      </c>
      <c r="E18" s="11"/>
    </row>
    <row r="19" spans="1:5">
      <c r="A19" s="12" t="s">
        <v>106</v>
      </c>
      <c r="B19" s="8"/>
      <c r="C19" s="8">
        <f>+C18-32</f>
        <v>668</v>
      </c>
      <c r="D19" s="8" t="s">
        <v>117</v>
      </c>
      <c r="E19" s="13">
        <v>86</v>
      </c>
    </row>
    <row r="20" spans="1:5">
      <c r="A20" s="12" t="s">
        <v>118</v>
      </c>
      <c r="B20" s="8"/>
      <c r="C20" s="25">
        <v>270</v>
      </c>
      <c r="D20" s="8" t="s">
        <v>117</v>
      </c>
      <c r="E20" s="13">
        <v>24</v>
      </c>
    </row>
    <row r="21" spans="1:5">
      <c r="A21" s="12" t="s">
        <v>33</v>
      </c>
      <c r="B21" s="8"/>
      <c r="C21" s="8"/>
      <c r="D21" s="8" t="s">
        <v>117</v>
      </c>
      <c r="E21" s="13">
        <v>97</v>
      </c>
    </row>
    <row r="22" spans="1:5">
      <c r="A22" s="12"/>
      <c r="B22" s="8"/>
      <c r="C22" s="8"/>
      <c r="D22" s="8"/>
      <c r="E22" s="13"/>
    </row>
    <row r="23" spans="1:5">
      <c r="A23" s="12" t="s">
        <v>119</v>
      </c>
      <c r="B23" s="8"/>
      <c r="C23" s="8">
        <f>+C19-E19</f>
        <v>582</v>
      </c>
      <c r="D23" s="8">
        <f>+C20-E20</f>
        <v>246</v>
      </c>
      <c r="E23" s="13">
        <f>+D18</f>
        <v>4</v>
      </c>
    </row>
    <row r="24" spans="1:5">
      <c r="A24" s="12" t="s">
        <v>33</v>
      </c>
      <c r="B24" s="8"/>
      <c r="C24" s="8">
        <f>+C19-E21</f>
        <v>571</v>
      </c>
      <c r="D24" s="8">
        <v>96</v>
      </c>
      <c r="E24" s="13">
        <f>+E23</f>
        <v>4</v>
      </c>
    </row>
    <row r="25" spans="1:5" ht="15.75" thickBot="1">
      <c r="A25" s="14"/>
      <c r="B25" s="15"/>
      <c r="C25" s="15"/>
      <c r="D25" s="15"/>
      <c r="E25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J35" sqref="J35"/>
    </sheetView>
  </sheetViews>
  <sheetFormatPr defaultRowHeight="15"/>
  <sheetData>
    <row r="1" spans="1:5">
      <c r="A1" t="s">
        <v>122</v>
      </c>
    </row>
    <row r="4" spans="1:5">
      <c r="A4" t="s">
        <v>106</v>
      </c>
      <c r="C4">
        <v>568</v>
      </c>
    </row>
    <row r="6" spans="1:5">
      <c r="A6" t="s">
        <v>123</v>
      </c>
      <c r="C6">
        <f>+C4-75</f>
        <v>493</v>
      </c>
      <c r="D6">
        <v>490</v>
      </c>
      <c r="E6" t="s">
        <v>124</v>
      </c>
    </row>
    <row r="7" spans="1:5">
      <c r="A7" t="s">
        <v>33</v>
      </c>
      <c r="C7">
        <f>+C4-87</f>
        <v>481</v>
      </c>
      <c r="D7">
        <v>100</v>
      </c>
      <c r="E7">
        <v>183</v>
      </c>
    </row>
    <row r="16" spans="1:5">
      <c r="A16" t="s">
        <v>106</v>
      </c>
      <c r="C16">
        <v>568</v>
      </c>
    </row>
    <row r="18" spans="1:5">
      <c r="A18" t="s">
        <v>123</v>
      </c>
      <c r="C18">
        <f>+C16-75</f>
        <v>493</v>
      </c>
      <c r="D18">
        <v>490</v>
      </c>
      <c r="E18" t="s">
        <v>124</v>
      </c>
    </row>
    <row r="19" spans="1:5">
      <c r="A19" t="s">
        <v>33</v>
      </c>
      <c r="C19">
        <f>+C16-87</f>
        <v>481</v>
      </c>
      <c r="D19">
        <v>100</v>
      </c>
      <c r="E19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7" sqref="D7"/>
    </sheetView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L50"/>
  <sheetViews>
    <sheetView workbookViewId="0">
      <selection activeCell="F16" sqref="F16"/>
    </sheetView>
  </sheetViews>
  <sheetFormatPr defaultRowHeight="15"/>
  <cols>
    <col min="2" max="2" width="10.28515625" bestFit="1" customWidth="1"/>
    <col min="3" max="3" width="6.85546875" bestFit="1" customWidth="1"/>
    <col min="4" max="4" width="6.42578125" bestFit="1" customWidth="1"/>
    <col min="5" max="5" width="8.7109375" bestFit="1" customWidth="1"/>
    <col min="6" max="6" width="10" bestFit="1" customWidth="1"/>
    <col min="7" max="7" width="14.140625" bestFit="1" customWidth="1"/>
    <col min="8" max="8" width="10" bestFit="1" customWidth="1"/>
    <col min="9" max="9" width="14.42578125" bestFit="1" customWidth="1"/>
    <col min="10" max="10" width="7" bestFit="1" customWidth="1"/>
    <col min="11" max="11" width="13.28515625" bestFit="1" customWidth="1"/>
    <col min="12" max="12" width="3.85546875" bestFit="1" customWidth="1"/>
  </cols>
  <sheetData>
    <row r="5" spans="2:12">
      <c r="G5" t="s">
        <v>128</v>
      </c>
      <c r="H5" t="s">
        <v>129</v>
      </c>
      <c r="I5" t="s">
        <v>130</v>
      </c>
      <c r="J5" t="s">
        <v>131</v>
      </c>
      <c r="K5" t="s">
        <v>132</v>
      </c>
      <c r="L5" t="s">
        <v>88</v>
      </c>
    </row>
    <row r="6" spans="2:12">
      <c r="B6" t="str">
        <f>doors!B6</f>
        <v>Name</v>
      </c>
      <c r="C6" t="str">
        <f>doors!C6</f>
        <v>Height</v>
      </c>
      <c r="D6" t="str">
        <f>doors!E6</f>
        <v>Width</v>
      </c>
      <c r="E6" t="str">
        <f>doors!F6</f>
        <v>Quantity</v>
      </c>
    </row>
    <row r="7" spans="2:12">
      <c r="B7" s="3" t="str">
        <f>doors!B7</f>
        <v xml:space="preserve">door </v>
      </c>
      <c r="C7" s="3">
        <f>doors!C7</f>
        <v>717</v>
      </c>
      <c r="D7" s="3">
        <f>doors!E7</f>
        <v>538</v>
      </c>
      <c r="E7" s="3">
        <f>doors!F7</f>
        <v>0</v>
      </c>
      <c r="F7" s="3"/>
      <c r="G7" s="3"/>
      <c r="H7" s="3"/>
      <c r="I7" s="3"/>
      <c r="J7" s="3"/>
      <c r="K7" s="3"/>
    </row>
    <row r="8" spans="2:12">
      <c r="B8" s="3" t="str">
        <f>doors!B8</f>
        <v>draw front</v>
      </c>
      <c r="C8" s="3">
        <f>doors!C8</f>
        <v>120</v>
      </c>
      <c r="D8" s="3">
        <f>doors!E8</f>
        <v>597</v>
      </c>
      <c r="E8" s="3">
        <f>doors!F8</f>
        <v>0</v>
      </c>
      <c r="F8" s="3"/>
      <c r="G8" s="3"/>
      <c r="H8" s="3"/>
      <c r="I8" s="3"/>
      <c r="J8" s="3"/>
      <c r="K8" s="3"/>
    </row>
    <row r="9" spans="2:12">
      <c r="B9" s="3" t="str">
        <f>doors!B9</f>
        <v xml:space="preserve">door </v>
      </c>
      <c r="C9" s="3">
        <f>doors!C9</f>
        <v>717</v>
      </c>
      <c r="D9" s="3">
        <f>doors!E9</f>
        <v>297</v>
      </c>
      <c r="E9" s="3">
        <f>doors!F9</f>
        <v>0</v>
      </c>
      <c r="F9" s="3"/>
      <c r="G9" s="3"/>
      <c r="H9" s="3"/>
      <c r="I9" s="3"/>
      <c r="J9" s="3"/>
      <c r="K9" s="3"/>
    </row>
    <row r="10" spans="2:12">
      <c r="B10" s="3" t="str">
        <f>doors!B10</f>
        <v>draw front</v>
      </c>
      <c r="C10" s="3">
        <f>doors!C10</f>
        <v>177</v>
      </c>
      <c r="D10" s="3">
        <f>doors!E10</f>
        <v>597</v>
      </c>
      <c r="E10" s="3">
        <f>doors!F10</f>
        <v>0</v>
      </c>
      <c r="F10" s="3"/>
      <c r="G10" s="3"/>
      <c r="H10" s="3"/>
      <c r="I10" s="3"/>
      <c r="J10" s="3"/>
      <c r="K10" s="3"/>
    </row>
    <row r="11" spans="2:12">
      <c r="B11" s="3" t="str">
        <f>doors!B11</f>
        <v>draw front</v>
      </c>
      <c r="C11" s="3">
        <f>doors!C11</f>
        <v>177</v>
      </c>
      <c r="D11" s="3">
        <f>doors!E11</f>
        <v>697</v>
      </c>
      <c r="E11" s="3">
        <f>doors!F11</f>
        <v>0</v>
      </c>
      <c r="F11" s="3"/>
      <c r="G11" s="3"/>
      <c r="H11" s="3"/>
      <c r="I11" s="3"/>
      <c r="J11" s="3"/>
      <c r="K11" s="3"/>
    </row>
    <row r="12" spans="2:12">
      <c r="B12" s="3" t="str">
        <f>doors!B12</f>
        <v>draw front</v>
      </c>
      <c r="C12" s="3">
        <f>doors!C12</f>
        <v>356</v>
      </c>
      <c r="D12" s="3">
        <f>doors!E12</f>
        <v>697</v>
      </c>
      <c r="E12" s="3">
        <f>doors!F12</f>
        <v>0</v>
      </c>
      <c r="F12" s="3"/>
      <c r="G12" s="3"/>
      <c r="H12" s="3"/>
      <c r="I12" s="3"/>
      <c r="J12" s="3"/>
      <c r="K12" s="3"/>
    </row>
    <row r="13" spans="2:12">
      <c r="B13" s="3" t="str">
        <f>doors!B13</f>
        <v>draw front</v>
      </c>
      <c r="C13" s="3">
        <f>doors!C13</f>
        <v>356</v>
      </c>
      <c r="D13" s="3">
        <f>doors!E13</f>
        <v>597</v>
      </c>
      <c r="E13" s="3">
        <f>doors!F13</f>
        <v>0</v>
      </c>
      <c r="F13" s="3"/>
      <c r="G13" s="3"/>
      <c r="H13" s="3"/>
      <c r="I13" s="3"/>
      <c r="J13" s="3"/>
      <c r="K13" s="3"/>
    </row>
    <row r="14" spans="2:12">
      <c r="B14" s="3" t="str">
        <f>doors!B14</f>
        <v xml:space="preserve">door </v>
      </c>
      <c r="C14" s="3">
        <f>doors!C14</f>
        <v>717</v>
      </c>
      <c r="D14" s="3">
        <f>doors!E14</f>
        <v>372</v>
      </c>
      <c r="E14" s="3">
        <f>doors!F14</f>
        <v>0</v>
      </c>
      <c r="F14" s="3"/>
      <c r="G14" s="3"/>
      <c r="H14" s="3"/>
      <c r="I14" s="3"/>
      <c r="J14" s="3"/>
      <c r="K14" s="3"/>
    </row>
    <row r="15" spans="2:12">
      <c r="B15" s="3" t="str">
        <f>doors!B15</f>
        <v>draw front</v>
      </c>
      <c r="C15" s="3">
        <f>doors!C15</f>
        <v>177</v>
      </c>
      <c r="D15" s="3">
        <f>doors!E15</f>
        <v>747</v>
      </c>
      <c r="E15" s="3">
        <f>doors!F15</f>
        <v>0</v>
      </c>
      <c r="F15" s="3"/>
      <c r="G15" s="3"/>
      <c r="H15" s="3"/>
      <c r="I15" s="3"/>
      <c r="J15" s="3"/>
      <c r="K15" s="3"/>
    </row>
    <row r="16" spans="2:12">
      <c r="B16" s="3" t="str">
        <f>doors!B16</f>
        <v>draw front</v>
      </c>
      <c r="C16" s="3">
        <f>doors!C16</f>
        <v>356</v>
      </c>
      <c r="D16" s="3">
        <f>doors!E16</f>
        <v>747</v>
      </c>
      <c r="E16" s="3">
        <f>doors!F16</f>
        <v>0</v>
      </c>
      <c r="F16" s="3"/>
      <c r="G16" s="3"/>
      <c r="H16" s="3"/>
      <c r="I16" s="3"/>
      <c r="J16" s="3"/>
      <c r="K16" s="3"/>
    </row>
    <row r="17" spans="2:11">
      <c r="B17" s="3" t="str">
        <f>doors!B17</f>
        <v xml:space="preserve">door </v>
      </c>
      <c r="C17" s="3">
        <f>doors!C17</f>
        <v>717</v>
      </c>
      <c r="D17" s="3">
        <f>doors!E17</f>
        <v>316</v>
      </c>
      <c r="E17" s="3">
        <f>doors!F17</f>
        <v>0</v>
      </c>
      <c r="F17" s="3"/>
      <c r="G17" s="3"/>
      <c r="H17" s="3"/>
      <c r="I17" s="3"/>
      <c r="J17" s="3"/>
      <c r="K17" s="3"/>
    </row>
    <row r="18" spans="2:11">
      <c r="B18" s="3" t="str">
        <f>doors!B18</f>
        <v xml:space="preserve">door </v>
      </c>
      <c r="C18" s="3">
        <f>doors!C18</f>
        <v>717</v>
      </c>
      <c r="D18" s="3">
        <f>doors!E18</f>
        <v>319</v>
      </c>
      <c r="E18" s="3">
        <f>doors!F18</f>
        <v>0</v>
      </c>
      <c r="F18" s="3"/>
      <c r="G18" s="3"/>
      <c r="H18" s="3"/>
      <c r="I18" s="3"/>
      <c r="J18" s="3"/>
      <c r="K18" s="3"/>
    </row>
    <row r="19" spans="2:11">
      <c r="B19" s="3" t="str">
        <f>doors!B19</f>
        <v xml:space="preserve">door </v>
      </c>
      <c r="C19" s="3">
        <f>doors!C19</f>
        <v>717</v>
      </c>
      <c r="D19" s="3">
        <f>doors!E19</f>
        <v>316</v>
      </c>
      <c r="E19" s="3">
        <f>doors!F19</f>
        <v>0</v>
      </c>
      <c r="F19" s="3"/>
      <c r="G19" s="3"/>
      <c r="H19" s="3"/>
      <c r="I19" s="3"/>
      <c r="J19" s="3"/>
      <c r="K19" s="3"/>
    </row>
    <row r="20" spans="2:11">
      <c r="B20" s="3" t="str">
        <f>doors!B20</f>
        <v xml:space="preserve">door </v>
      </c>
      <c r="C20" s="3">
        <f>doors!C20</f>
        <v>717</v>
      </c>
      <c r="D20" s="3">
        <f>doors!E20</f>
        <v>419</v>
      </c>
      <c r="E20" s="3">
        <f>doors!F20</f>
        <v>0</v>
      </c>
      <c r="F20" s="3"/>
      <c r="G20" s="3"/>
      <c r="H20" s="3"/>
      <c r="I20" s="3"/>
      <c r="J20" s="3"/>
      <c r="K20" s="3"/>
    </row>
    <row r="21" spans="2:11">
      <c r="B21" s="3" t="str">
        <f>doors!B21</f>
        <v xml:space="preserve">door </v>
      </c>
      <c r="C21" s="3">
        <f>doors!C21</f>
        <v>717</v>
      </c>
      <c r="D21" s="3">
        <f>doors!E21</f>
        <v>447</v>
      </c>
      <c r="E21" s="3">
        <f>doors!F21</f>
        <v>0</v>
      </c>
      <c r="F21" s="3"/>
      <c r="G21" s="3"/>
      <c r="H21" s="3"/>
      <c r="I21" s="3"/>
      <c r="J21" s="3"/>
      <c r="K21" s="3"/>
    </row>
    <row r="22" spans="2:11">
      <c r="B22" s="3" t="str">
        <f>doors!B22</f>
        <v>draw front</v>
      </c>
      <c r="C22" s="3">
        <f>doors!C22</f>
        <v>177</v>
      </c>
      <c r="D22" s="3">
        <f>doors!E22</f>
        <v>897</v>
      </c>
      <c r="E22" s="3">
        <f>doors!F22</f>
        <v>0</v>
      </c>
      <c r="F22" s="3"/>
      <c r="G22" s="3"/>
      <c r="H22" s="3"/>
      <c r="I22" s="3"/>
      <c r="J22" s="3"/>
      <c r="K22" s="3"/>
    </row>
    <row r="23" spans="2:11">
      <c r="B23" s="3" t="str">
        <f>doors!B23</f>
        <v>draw front</v>
      </c>
      <c r="C23" s="3">
        <f>doors!C23</f>
        <v>356</v>
      </c>
      <c r="D23" s="3">
        <f>doors!E23</f>
        <v>897</v>
      </c>
      <c r="E23" s="3">
        <f>doors!F23</f>
        <v>0</v>
      </c>
      <c r="F23" s="3"/>
      <c r="G23" s="3"/>
      <c r="H23" s="3"/>
      <c r="I23" s="3"/>
      <c r="J23" s="3"/>
      <c r="K23" s="3"/>
    </row>
    <row r="24" spans="2:11">
      <c r="B24" s="3" t="str">
        <f>doors!B24</f>
        <v xml:space="preserve">door </v>
      </c>
      <c r="C24" s="3">
        <f>doors!C24</f>
        <v>717</v>
      </c>
      <c r="D24" s="3">
        <f>doors!E24</f>
        <v>497</v>
      </c>
      <c r="E24" s="3">
        <f>doors!F24</f>
        <v>0</v>
      </c>
      <c r="F24" s="3"/>
      <c r="G24" s="3"/>
      <c r="H24" s="3"/>
      <c r="I24" s="3"/>
      <c r="J24" s="3"/>
      <c r="K24" s="3"/>
    </row>
    <row r="25" spans="2:11">
      <c r="B25" s="3" t="str">
        <f>doors!B25</f>
        <v xml:space="preserve">door </v>
      </c>
      <c r="C25" s="3">
        <f>doors!C25</f>
        <v>717</v>
      </c>
      <c r="D25" s="3">
        <f>doors!E25</f>
        <v>547</v>
      </c>
      <c r="E25" s="3">
        <f>doors!F25</f>
        <v>0</v>
      </c>
      <c r="F25" s="3"/>
      <c r="G25" s="3"/>
      <c r="H25" s="3"/>
      <c r="I25" s="3"/>
      <c r="J25" s="3"/>
      <c r="K25" s="3"/>
    </row>
    <row r="26" spans="2:11">
      <c r="B26" s="3" t="str">
        <f>doors!B26</f>
        <v xml:space="preserve">door </v>
      </c>
      <c r="C26" s="3">
        <f>doors!C26</f>
        <v>717</v>
      </c>
      <c r="D26" s="3">
        <f>doors!E26</f>
        <v>597</v>
      </c>
      <c r="E26" s="3">
        <f>doors!F26</f>
        <v>0</v>
      </c>
      <c r="F26" s="3"/>
      <c r="G26" s="3"/>
      <c r="H26" s="3"/>
      <c r="I26" s="3"/>
      <c r="J26" s="3"/>
      <c r="K26" s="3"/>
    </row>
    <row r="27" spans="2:11">
      <c r="B27" s="3" t="str">
        <f>doors!B27</f>
        <v xml:space="preserve">door </v>
      </c>
      <c r="C27" s="3">
        <f>doors!C27</f>
        <v>717</v>
      </c>
      <c r="D27" s="3">
        <f>doors!E27</f>
        <v>597</v>
      </c>
      <c r="E27" s="3">
        <f>doors!F27</f>
        <v>0</v>
      </c>
      <c r="F27" s="3"/>
      <c r="G27" s="3"/>
      <c r="H27" s="3"/>
      <c r="I27" s="3"/>
      <c r="J27" s="3"/>
      <c r="K27" s="3"/>
    </row>
    <row r="28" spans="2:11">
      <c r="B28" s="3" t="str">
        <f>doors!B28</f>
        <v xml:space="preserve">door </v>
      </c>
      <c r="C28" s="3">
        <f>doors!C28</f>
        <v>717</v>
      </c>
      <c r="D28" s="3">
        <f>doors!E28</f>
        <v>297</v>
      </c>
      <c r="E28" s="3">
        <f>doors!F28</f>
        <v>0</v>
      </c>
      <c r="F28" s="3"/>
      <c r="G28" s="3"/>
      <c r="H28" s="3"/>
      <c r="I28" s="3"/>
      <c r="J28" s="3"/>
      <c r="K28" s="3"/>
    </row>
    <row r="29" spans="2:11">
      <c r="B29" s="3" t="str">
        <f>doors!B29</f>
        <v xml:space="preserve">door </v>
      </c>
      <c r="C29" s="3">
        <f>doors!C29</f>
        <v>717</v>
      </c>
      <c r="D29" s="3">
        <f>doors!E29</f>
        <v>447</v>
      </c>
      <c r="E29" s="3">
        <f>doors!F29</f>
        <v>0</v>
      </c>
      <c r="F29" s="3"/>
      <c r="G29" s="3"/>
      <c r="H29" s="3"/>
      <c r="I29" s="3"/>
      <c r="J29" s="3"/>
      <c r="K29" s="3"/>
    </row>
    <row r="30" spans="2:11">
      <c r="B30" s="3" t="str">
        <f>doors!B30</f>
        <v>draw front</v>
      </c>
      <c r="C30" s="3">
        <f>doors!C30</f>
        <v>177</v>
      </c>
      <c r="D30" s="3">
        <f>doors!E30</f>
        <v>447</v>
      </c>
      <c r="E30" s="3">
        <f>doors!F30</f>
        <v>0</v>
      </c>
      <c r="F30" s="3"/>
      <c r="G30" s="3"/>
      <c r="H30" s="3"/>
      <c r="I30" s="3"/>
      <c r="J30" s="3"/>
      <c r="K30" s="3"/>
    </row>
    <row r="31" spans="2:11">
      <c r="B31" s="3" t="str">
        <f>doors!B31</f>
        <v>draw front</v>
      </c>
      <c r="C31" s="3">
        <f>doors!C31</f>
        <v>177</v>
      </c>
      <c r="D31" s="3">
        <f>doors!E31</f>
        <v>447</v>
      </c>
      <c r="E31" s="3">
        <f>doors!F31</f>
        <v>0</v>
      </c>
      <c r="F31" s="3"/>
      <c r="G31" s="3"/>
      <c r="H31" s="3"/>
      <c r="I31" s="3"/>
      <c r="J31" s="3"/>
      <c r="K31" s="3"/>
    </row>
    <row r="32" spans="2:11">
      <c r="B32" s="3" t="str">
        <f>doors!B32</f>
        <v>draw front</v>
      </c>
      <c r="C32" s="3">
        <f>doors!C32</f>
        <v>356</v>
      </c>
      <c r="D32" s="3">
        <f>doors!E32</f>
        <v>447</v>
      </c>
      <c r="E32" s="3">
        <f>doors!F32</f>
        <v>0</v>
      </c>
      <c r="F32" s="3"/>
      <c r="G32" s="3"/>
      <c r="H32" s="3"/>
      <c r="I32" s="3"/>
      <c r="J32" s="3"/>
      <c r="K32" s="3"/>
    </row>
    <row r="33" spans="2:11">
      <c r="B33" s="3" t="str">
        <f>doors!B33</f>
        <v>draw front</v>
      </c>
      <c r="C33" s="3">
        <f>doors!C33</f>
        <v>717</v>
      </c>
      <c r="D33" s="3">
        <f>doors!E33</f>
        <v>447</v>
      </c>
      <c r="E33" s="3">
        <f>doors!F33</f>
        <v>0</v>
      </c>
      <c r="F33" s="3"/>
      <c r="G33" s="3"/>
      <c r="H33" s="3"/>
      <c r="I33" s="3"/>
      <c r="J33" s="3"/>
      <c r="K33" s="3"/>
    </row>
    <row r="34" spans="2:11">
      <c r="B34" s="3" t="str">
        <f>doors!B34</f>
        <v>door</v>
      </c>
      <c r="C34" s="3">
        <f>doors!C34</f>
        <v>717</v>
      </c>
      <c r="D34" s="3">
        <f>doors!E34</f>
        <v>197</v>
      </c>
      <c r="E34" s="3">
        <f>doors!F34</f>
        <v>0</v>
      </c>
      <c r="F34" s="3"/>
      <c r="G34" s="3"/>
      <c r="H34" s="3"/>
      <c r="I34" s="3"/>
      <c r="J34" s="3"/>
      <c r="K34" s="3"/>
    </row>
    <row r="35" spans="2:11">
      <c r="B35" s="3" t="str">
        <f>doors!B35</f>
        <v xml:space="preserve">door </v>
      </c>
      <c r="C35" s="3">
        <f>doors!C35</f>
        <v>717</v>
      </c>
      <c r="D35" s="3">
        <f>doors!E35</f>
        <v>147</v>
      </c>
      <c r="E35" s="3">
        <f>doors!F35</f>
        <v>0</v>
      </c>
      <c r="F35" s="3"/>
      <c r="G35" s="3"/>
      <c r="H35" s="3"/>
      <c r="I35" s="3"/>
      <c r="J35" s="3"/>
      <c r="K35" s="3"/>
    </row>
    <row r="36" spans="2:11">
      <c r="B36" s="3" t="str">
        <f>doors!B36</f>
        <v>door high</v>
      </c>
      <c r="C36" s="3">
        <f>doors!C36</f>
        <v>1077</v>
      </c>
      <c r="D36" s="3">
        <f>doors!E36</f>
        <v>447</v>
      </c>
      <c r="E36" s="3">
        <f>doors!F36</f>
        <v>0</v>
      </c>
      <c r="F36" s="3"/>
      <c r="G36" s="3"/>
      <c r="H36" s="3"/>
      <c r="I36" s="3"/>
      <c r="J36" s="3"/>
      <c r="K36" s="3"/>
    </row>
    <row r="37" spans="2:11">
      <c r="B37" s="3" t="str">
        <f>doors!B37</f>
        <v>door high</v>
      </c>
      <c r="C37" s="3">
        <f>doors!C37</f>
        <v>1077</v>
      </c>
      <c r="D37" s="3">
        <f>doors!E37</f>
        <v>279</v>
      </c>
      <c r="E37" s="3">
        <f>doors!F37</f>
        <v>0</v>
      </c>
      <c r="F37" s="3"/>
      <c r="G37" s="3"/>
      <c r="H37" s="3"/>
      <c r="I37" s="3"/>
      <c r="J37" s="3"/>
      <c r="K37" s="3"/>
    </row>
    <row r="38" spans="2:11">
      <c r="B38" s="3" t="str">
        <f>doors!B38</f>
        <v>door high</v>
      </c>
      <c r="C38" s="3">
        <f>doors!C38</f>
        <v>1077</v>
      </c>
      <c r="D38" s="3">
        <f>doors!E38</f>
        <v>279</v>
      </c>
      <c r="E38" s="3">
        <f>doors!F38</f>
        <v>0</v>
      </c>
      <c r="F38" s="3"/>
      <c r="G38" s="3"/>
      <c r="H38" s="3"/>
      <c r="I38" s="3"/>
      <c r="J38" s="3"/>
      <c r="K38" s="3"/>
    </row>
    <row r="39" spans="2:11">
      <c r="B39" s="3" t="str">
        <f>doors!B39</f>
        <v>door high</v>
      </c>
      <c r="C39" s="3">
        <f>doors!C39</f>
        <v>1077</v>
      </c>
      <c r="D39" s="3">
        <f>doors!E39</f>
        <v>481</v>
      </c>
      <c r="E39" s="3">
        <f>doors!F39</f>
        <v>0</v>
      </c>
      <c r="F39" s="3"/>
      <c r="G39" s="3"/>
      <c r="H39" s="3"/>
      <c r="I39" s="3"/>
      <c r="J39" s="3"/>
      <c r="K39" s="3"/>
    </row>
    <row r="40" spans="2:11">
      <c r="B40" s="3" t="str">
        <f>doors!B56</f>
        <v>door tall</v>
      </c>
      <c r="C40" s="3">
        <f>doors!C56</f>
        <v>2293</v>
      </c>
      <c r="D40" s="3">
        <f>doors!E56</f>
        <v>447</v>
      </c>
      <c r="E40" s="3">
        <f>doors!F56</f>
        <v>0</v>
      </c>
      <c r="F40" s="3"/>
      <c r="G40" s="3"/>
      <c r="H40" s="3"/>
      <c r="I40" s="3"/>
      <c r="J40" s="3"/>
      <c r="K40" s="3"/>
    </row>
    <row r="41" spans="2:11">
      <c r="B41" s="3" t="str">
        <f>doors!B57</f>
        <v>door tall</v>
      </c>
      <c r="C41" s="3">
        <f>doors!C57</f>
        <v>2293</v>
      </c>
      <c r="D41" s="3">
        <f>doors!E57</f>
        <v>297</v>
      </c>
      <c r="E41" s="3">
        <f>doors!F57</f>
        <v>0</v>
      </c>
      <c r="F41" s="3"/>
      <c r="G41" s="3"/>
      <c r="H41" s="3"/>
      <c r="I41" s="3"/>
      <c r="J41" s="3"/>
      <c r="K41" s="3"/>
    </row>
    <row r="42" spans="2:11"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2:11"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2:11"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2:11"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2:11"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2:11"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2:11"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2:11"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2:11"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1</vt:i4>
      </vt:variant>
    </vt:vector>
  </HeadingPairs>
  <TitlesOfParts>
    <vt:vector size="12" baseType="lpstr">
      <vt:lpstr>input sheet</vt:lpstr>
      <vt:lpstr>cut list</vt:lpstr>
      <vt:lpstr>doors</vt:lpstr>
      <vt:lpstr>pannels</vt:lpstr>
      <vt:lpstr>drawing</vt:lpstr>
      <vt:lpstr>bic</vt:lpstr>
      <vt:lpstr>gola std</vt:lpstr>
      <vt:lpstr>dtc</vt:lpstr>
      <vt:lpstr>sumit</vt:lpstr>
      <vt:lpstr>gelmar</vt:lpstr>
      <vt:lpstr>hardware list</vt:lpstr>
      <vt:lpstr>Chart1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Mithcell-Merkaba-HP</dc:creator>
  <cp:lastModifiedBy>Mithcell-Merkaba-HP</cp:lastModifiedBy>
  <cp:lastPrinted>2026-08-14T13:57:39Z</cp:lastPrinted>
  <dcterms:created xsi:type="dcterms:W3CDTF">2024-07-17T10:29:24Z</dcterms:created>
  <dcterms:modified xsi:type="dcterms:W3CDTF">2026-08-26T07:25:51Z</dcterms:modified>
</cp:coreProperties>
</file>